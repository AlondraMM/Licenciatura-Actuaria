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ondra Maus\Desktop\"/>
    </mc:Choice>
  </mc:AlternateContent>
  <xr:revisionPtr revIDLastSave="0" documentId="13_ncr:1_{933703CD-39E5-492F-849F-9B05DD4F31A5}" xr6:coauthVersionLast="45" xr6:coauthVersionMax="45" xr10:uidLastSave="{00000000-0000-0000-0000-000000000000}"/>
  <bookViews>
    <workbookView xWindow="-120" yWindow="-120" windowWidth="20730" windowHeight="11160" activeTab="5" xr2:uid="{DE795822-EE48-41F3-AE91-2ECB9B2CD5FF}"/>
  </bookViews>
  <sheets>
    <sheet name="IPC" sheetId="18" r:id="rId1"/>
    <sheet name="Activos" sheetId="1" r:id="rId2"/>
    <sheet name="Betas" sheetId="19" r:id="rId3"/>
    <sheet name="Portafolios a considerar" sheetId="21" r:id="rId4"/>
    <sheet name="Portafolio(amante)" sheetId="20" r:id="rId5"/>
    <sheet name="Portafolio(correlaciones neg)" sheetId="27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27" l="1" a="1"/>
  <c r="I6" i="27" s="1"/>
  <c r="I5" i="27"/>
  <c r="I4" i="27"/>
  <c r="E5" i="27" a="1"/>
  <c r="E5" i="27" s="1"/>
  <c r="B15" i="27" a="1"/>
  <c r="B15" i="27" s="1"/>
  <c r="E6" i="20" a="1"/>
  <c r="E7" i="20" s="1"/>
  <c r="E10" i="27" l="1"/>
  <c r="E8" i="27"/>
  <c r="E6" i="27"/>
  <c r="E9" i="27"/>
  <c r="E7" i="27"/>
  <c r="G15" i="27"/>
  <c r="E15" i="27"/>
  <c r="C15" i="27"/>
  <c r="F15" i="27"/>
  <c r="D15" i="27"/>
  <c r="E16" i="20"/>
  <c r="E14" i="20"/>
  <c r="E12" i="20"/>
  <c r="E10" i="20"/>
  <c r="E8" i="20"/>
  <c r="E6" i="20"/>
  <c r="E17" i="20"/>
  <c r="E15" i="20"/>
  <c r="E13" i="20"/>
  <c r="E11" i="20"/>
  <c r="E9" i="20"/>
  <c r="I5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33" i="18" s="1"/>
  <c r="I16" i="18"/>
  <c r="I15" i="18"/>
  <c r="I14" i="18"/>
  <c r="I13" i="18"/>
  <c r="I12" i="18"/>
  <c r="I11" i="18"/>
  <c r="I10" i="18"/>
  <c r="I9" i="18"/>
  <c r="I8" i="18"/>
  <c r="I7" i="18"/>
  <c r="I6" i="18"/>
  <c r="E18" i="20" l="1"/>
  <c r="F7" i="20" s="1"/>
  <c r="F14" i="20"/>
  <c r="F13" i="20"/>
  <c r="F8" i="20"/>
  <c r="F16" i="20"/>
  <c r="F8" i="27"/>
  <c r="F6" i="27"/>
  <c r="E11" i="27"/>
  <c r="F9" i="27" s="1"/>
  <c r="F10" i="27"/>
  <c r="I35" i="18"/>
  <c r="I17" i="18"/>
  <c r="ED16" i="1"/>
  <c r="ED32" i="1"/>
  <c r="ED31" i="1"/>
  <c r="ED30" i="1"/>
  <c r="ED29" i="1"/>
  <c r="ED28" i="1"/>
  <c r="ED27" i="1"/>
  <c r="ED26" i="1"/>
  <c r="ED25" i="1"/>
  <c r="ED24" i="1"/>
  <c r="ED23" i="1"/>
  <c r="ED22" i="1"/>
  <c r="ED21" i="1"/>
  <c r="ED5" i="1"/>
  <c r="ED6" i="1"/>
  <c r="ED7" i="1"/>
  <c r="ED8" i="1"/>
  <c r="ED9" i="1"/>
  <c r="ED10" i="1"/>
  <c r="ED11" i="1"/>
  <c r="ED12" i="1"/>
  <c r="ED13" i="1"/>
  <c r="ED14" i="1"/>
  <c r="ED15" i="1"/>
  <c r="F15" i="20" l="1"/>
  <c r="F12" i="20"/>
  <c r="F17" i="20"/>
  <c r="F9" i="20"/>
  <c r="F10" i="20"/>
  <c r="F6" i="20"/>
  <c r="F11" i="20"/>
  <c r="F7" i="27"/>
  <c r="D31" i="18"/>
  <c r="D30" i="18"/>
  <c r="D29" i="18"/>
  <c r="D28" i="18"/>
  <c r="D27" i="18"/>
  <c r="D26" i="18"/>
  <c r="D25" i="18"/>
  <c r="D24" i="18"/>
  <c r="D23" i="18"/>
  <c r="D22" i="18"/>
  <c r="D21" i="18"/>
  <c r="D16" i="18"/>
  <c r="D15" i="18"/>
  <c r="D14" i="18"/>
  <c r="D13" i="18"/>
  <c r="D12" i="18"/>
  <c r="D11" i="18"/>
  <c r="D10" i="18"/>
  <c r="D9" i="18"/>
  <c r="D8" i="18"/>
  <c r="D7" i="18"/>
  <c r="D6" i="18"/>
  <c r="D5" i="18"/>
  <c r="I7" i="20" l="1" a="1"/>
  <c r="I7" i="20" s="1"/>
  <c r="I5" i="20"/>
  <c r="I6" i="20"/>
  <c r="D17" i="18"/>
  <c r="D33" i="18"/>
  <c r="D35" i="18" l="1"/>
  <c r="FR31" i="1"/>
  <c r="FM31" i="1"/>
  <c r="FH31" i="1"/>
  <c r="FC31" i="1"/>
  <c r="EX31" i="1"/>
  <c r="ES31" i="1"/>
  <c r="EN31" i="1"/>
  <c r="EI31" i="1"/>
  <c r="DY31" i="1"/>
  <c r="DT31" i="1"/>
  <c r="FR30" i="1"/>
  <c r="FM30" i="1"/>
  <c r="FH30" i="1"/>
  <c r="FC30" i="1"/>
  <c r="EX30" i="1"/>
  <c r="ES30" i="1"/>
  <c r="EN30" i="1"/>
  <c r="EI30" i="1"/>
  <c r="DY30" i="1"/>
  <c r="DT30" i="1"/>
  <c r="FR29" i="1"/>
  <c r="FM29" i="1"/>
  <c r="FH29" i="1"/>
  <c r="FC29" i="1"/>
  <c r="EX29" i="1"/>
  <c r="ES29" i="1"/>
  <c r="EN29" i="1"/>
  <c r="EI29" i="1"/>
  <c r="DY29" i="1"/>
  <c r="DT29" i="1"/>
  <c r="FR28" i="1"/>
  <c r="FM28" i="1"/>
  <c r="FH28" i="1"/>
  <c r="FC28" i="1"/>
  <c r="EX28" i="1"/>
  <c r="ES28" i="1"/>
  <c r="EN28" i="1"/>
  <c r="EI28" i="1"/>
  <c r="DY28" i="1"/>
  <c r="DT28" i="1"/>
  <c r="FR27" i="1"/>
  <c r="FM27" i="1"/>
  <c r="FH27" i="1"/>
  <c r="FC27" i="1"/>
  <c r="EX27" i="1"/>
  <c r="ES27" i="1"/>
  <c r="EN27" i="1"/>
  <c r="EI27" i="1"/>
  <c r="DY27" i="1"/>
  <c r="DT27" i="1"/>
  <c r="FR26" i="1"/>
  <c r="FM26" i="1"/>
  <c r="FH26" i="1"/>
  <c r="FC26" i="1"/>
  <c r="EX26" i="1"/>
  <c r="ES26" i="1"/>
  <c r="EN26" i="1"/>
  <c r="EI26" i="1"/>
  <c r="DY26" i="1"/>
  <c r="DT26" i="1"/>
  <c r="FR25" i="1"/>
  <c r="FM25" i="1"/>
  <c r="FH25" i="1"/>
  <c r="FC25" i="1"/>
  <c r="EX25" i="1"/>
  <c r="ES25" i="1"/>
  <c r="EN25" i="1"/>
  <c r="EI25" i="1"/>
  <c r="DY25" i="1"/>
  <c r="DT25" i="1"/>
  <c r="FR24" i="1"/>
  <c r="FM24" i="1"/>
  <c r="FH24" i="1"/>
  <c r="FC24" i="1"/>
  <c r="EX24" i="1"/>
  <c r="ES24" i="1"/>
  <c r="EN24" i="1"/>
  <c r="EI24" i="1"/>
  <c r="DY24" i="1"/>
  <c r="DT24" i="1"/>
  <c r="FR23" i="1"/>
  <c r="FM23" i="1"/>
  <c r="FH23" i="1"/>
  <c r="FC23" i="1"/>
  <c r="EX23" i="1"/>
  <c r="ES23" i="1"/>
  <c r="EN23" i="1"/>
  <c r="EI23" i="1"/>
  <c r="DY23" i="1"/>
  <c r="DT23" i="1"/>
  <c r="FR22" i="1"/>
  <c r="FM22" i="1"/>
  <c r="FH22" i="1"/>
  <c r="FC22" i="1"/>
  <c r="EX22" i="1"/>
  <c r="ES22" i="1"/>
  <c r="EN22" i="1"/>
  <c r="EI22" i="1"/>
  <c r="DY22" i="1"/>
  <c r="DT22" i="1"/>
  <c r="FR21" i="1"/>
  <c r="FM21" i="1"/>
  <c r="FH21" i="1"/>
  <c r="FC21" i="1"/>
  <c r="EX21" i="1"/>
  <c r="ES21" i="1"/>
  <c r="EN21" i="1"/>
  <c r="EI21" i="1"/>
  <c r="DY21" i="1"/>
  <c r="DT21" i="1"/>
  <c r="FR16" i="1"/>
  <c r="FM16" i="1"/>
  <c r="FH16" i="1"/>
  <c r="FC16" i="1"/>
  <c r="EX16" i="1"/>
  <c r="ES16" i="1"/>
  <c r="EN16" i="1"/>
  <c r="EI16" i="1"/>
  <c r="DY16" i="1"/>
  <c r="DT16" i="1"/>
  <c r="FR15" i="1"/>
  <c r="FM15" i="1"/>
  <c r="FH15" i="1"/>
  <c r="FC15" i="1"/>
  <c r="EX15" i="1"/>
  <c r="ES15" i="1"/>
  <c r="EN15" i="1"/>
  <c r="EI15" i="1"/>
  <c r="DY15" i="1"/>
  <c r="DT15" i="1"/>
  <c r="FR14" i="1"/>
  <c r="FM14" i="1"/>
  <c r="FH14" i="1"/>
  <c r="FC14" i="1"/>
  <c r="EX14" i="1"/>
  <c r="ES14" i="1"/>
  <c r="EN14" i="1"/>
  <c r="EI14" i="1"/>
  <c r="DY14" i="1"/>
  <c r="DT14" i="1"/>
  <c r="FR13" i="1"/>
  <c r="FM13" i="1"/>
  <c r="FH13" i="1"/>
  <c r="FC13" i="1"/>
  <c r="EX13" i="1"/>
  <c r="ES13" i="1"/>
  <c r="EN13" i="1"/>
  <c r="EI13" i="1"/>
  <c r="DY13" i="1"/>
  <c r="DT13" i="1"/>
  <c r="FR12" i="1"/>
  <c r="FM12" i="1"/>
  <c r="FH12" i="1"/>
  <c r="FC12" i="1"/>
  <c r="EX12" i="1"/>
  <c r="ES12" i="1"/>
  <c r="EN12" i="1"/>
  <c r="EI12" i="1"/>
  <c r="DY12" i="1"/>
  <c r="DT12" i="1"/>
  <c r="FR11" i="1"/>
  <c r="FM11" i="1"/>
  <c r="FH11" i="1"/>
  <c r="FC11" i="1"/>
  <c r="EX11" i="1"/>
  <c r="ES11" i="1"/>
  <c r="EN11" i="1"/>
  <c r="EI11" i="1"/>
  <c r="DY11" i="1"/>
  <c r="DT11" i="1"/>
  <c r="FR10" i="1"/>
  <c r="FM10" i="1"/>
  <c r="FH10" i="1"/>
  <c r="FC10" i="1"/>
  <c r="EX10" i="1"/>
  <c r="ES10" i="1"/>
  <c r="EN10" i="1"/>
  <c r="EI10" i="1"/>
  <c r="DY10" i="1"/>
  <c r="DT10" i="1"/>
  <c r="FR9" i="1"/>
  <c r="FM9" i="1"/>
  <c r="FH9" i="1"/>
  <c r="FC9" i="1"/>
  <c r="EX9" i="1"/>
  <c r="ES9" i="1"/>
  <c r="EN9" i="1"/>
  <c r="EI9" i="1"/>
  <c r="DY9" i="1"/>
  <c r="DT9" i="1"/>
  <c r="FR8" i="1"/>
  <c r="FM8" i="1"/>
  <c r="FH8" i="1"/>
  <c r="FC8" i="1"/>
  <c r="EX8" i="1"/>
  <c r="ES8" i="1"/>
  <c r="EN8" i="1"/>
  <c r="EI8" i="1"/>
  <c r="DY8" i="1"/>
  <c r="DT8" i="1"/>
  <c r="FR7" i="1"/>
  <c r="FM7" i="1"/>
  <c r="FH7" i="1"/>
  <c r="FC7" i="1"/>
  <c r="EX7" i="1"/>
  <c r="ES7" i="1"/>
  <c r="EN7" i="1"/>
  <c r="EI7" i="1"/>
  <c r="DY7" i="1"/>
  <c r="DT7" i="1"/>
  <c r="FR6" i="1"/>
  <c r="FM6" i="1"/>
  <c r="FH6" i="1"/>
  <c r="FC6" i="1"/>
  <c r="EX6" i="1"/>
  <c r="ES6" i="1"/>
  <c r="EN6" i="1"/>
  <c r="EI6" i="1"/>
  <c r="DY6" i="1"/>
  <c r="DT6" i="1"/>
  <c r="FR5" i="1"/>
  <c r="FM5" i="1"/>
  <c r="FH5" i="1"/>
  <c r="FC5" i="1"/>
  <c r="EX5" i="1"/>
  <c r="ES5" i="1"/>
  <c r="EN5" i="1"/>
  <c r="EI5" i="1"/>
  <c r="DY5" i="1"/>
  <c r="DT5" i="1"/>
  <c r="DO31" i="1"/>
  <c r="DJ31" i="1"/>
  <c r="DE31" i="1"/>
  <c r="CZ31" i="1"/>
  <c r="CU31" i="1"/>
  <c r="CP31" i="1"/>
  <c r="CK31" i="1"/>
  <c r="CF31" i="1"/>
  <c r="CA31" i="1"/>
  <c r="BV31" i="1"/>
  <c r="BQ31" i="1"/>
  <c r="BL31" i="1"/>
  <c r="DO30" i="1"/>
  <c r="DJ30" i="1"/>
  <c r="DE30" i="1"/>
  <c r="CZ30" i="1"/>
  <c r="CU30" i="1"/>
  <c r="CP30" i="1"/>
  <c r="CK30" i="1"/>
  <c r="CF30" i="1"/>
  <c r="CA30" i="1"/>
  <c r="BV30" i="1"/>
  <c r="BQ30" i="1"/>
  <c r="BL30" i="1"/>
  <c r="DO29" i="1"/>
  <c r="DJ29" i="1"/>
  <c r="DE29" i="1"/>
  <c r="CZ29" i="1"/>
  <c r="CU29" i="1"/>
  <c r="CP29" i="1"/>
  <c r="CK29" i="1"/>
  <c r="CF29" i="1"/>
  <c r="CA29" i="1"/>
  <c r="BV29" i="1"/>
  <c r="BQ29" i="1"/>
  <c r="BL29" i="1"/>
  <c r="DO28" i="1"/>
  <c r="DJ28" i="1"/>
  <c r="DE28" i="1"/>
  <c r="CZ28" i="1"/>
  <c r="CU28" i="1"/>
  <c r="CP28" i="1"/>
  <c r="CK28" i="1"/>
  <c r="CF28" i="1"/>
  <c r="CA28" i="1"/>
  <c r="BV28" i="1"/>
  <c r="BQ28" i="1"/>
  <c r="BL28" i="1"/>
  <c r="DO27" i="1"/>
  <c r="DJ27" i="1"/>
  <c r="DE27" i="1"/>
  <c r="CZ27" i="1"/>
  <c r="CU27" i="1"/>
  <c r="CP27" i="1"/>
  <c r="CK27" i="1"/>
  <c r="CF27" i="1"/>
  <c r="CA27" i="1"/>
  <c r="BV27" i="1"/>
  <c r="BQ27" i="1"/>
  <c r="BL27" i="1"/>
  <c r="DO26" i="1"/>
  <c r="DJ26" i="1"/>
  <c r="DE26" i="1"/>
  <c r="CZ26" i="1"/>
  <c r="CU26" i="1"/>
  <c r="CP26" i="1"/>
  <c r="CK26" i="1"/>
  <c r="CF26" i="1"/>
  <c r="CA26" i="1"/>
  <c r="BV26" i="1"/>
  <c r="BQ26" i="1"/>
  <c r="BL26" i="1"/>
  <c r="DO25" i="1"/>
  <c r="DJ25" i="1"/>
  <c r="DE25" i="1"/>
  <c r="CZ25" i="1"/>
  <c r="CU25" i="1"/>
  <c r="CP25" i="1"/>
  <c r="CK25" i="1"/>
  <c r="CF25" i="1"/>
  <c r="CA25" i="1"/>
  <c r="BV25" i="1"/>
  <c r="BQ25" i="1"/>
  <c r="BL25" i="1"/>
  <c r="DO24" i="1"/>
  <c r="DJ24" i="1"/>
  <c r="DE24" i="1"/>
  <c r="CZ24" i="1"/>
  <c r="CU24" i="1"/>
  <c r="CP24" i="1"/>
  <c r="CK24" i="1"/>
  <c r="CF24" i="1"/>
  <c r="CA24" i="1"/>
  <c r="BV24" i="1"/>
  <c r="BQ24" i="1"/>
  <c r="BL24" i="1"/>
  <c r="DO23" i="1"/>
  <c r="DJ23" i="1"/>
  <c r="DE23" i="1"/>
  <c r="CZ23" i="1"/>
  <c r="CU23" i="1"/>
  <c r="CP23" i="1"/>
  <c r="CK23" i="1"/>
  <c r="CF23" i="1"/>
  <c r="CA23" i="1"/>
  <c r="BV23" i="1"/>
  <c r="BQ23" i="1"/>
  <c r="BL23" i="1"/>
  <c r="DO22" i="1"/>
  <c r="DJ22" i="1"/>
  <c r="DE22" i="1"/>
  <c r="CZ22" i="1"/>
  <c r="CU22" i="1"/>
  <c r="CP22" i="1"/>
  <c r="CK22" i="1"/>
  <c r="CF22" i="1"/>
  <c r="CA22" i="1"/>
  <c r="BV22" i="1"/>
  <c r="BQ22" i="1"/>
  <c r="BL22" i="1"/>
  <c r="DO21" i="1"/>
  <c r="DO33" i="1" s="1"/>
  <c r="DJ21" i="1"/>
  <c r="DJ33" i="1" s="1"/>
  <c r="DE21" i="1"/>
  <c r="DE33" i="1" s="1"/>
  <c r="CZ21" i="1"/>
  <c r="CZ33" i="1" s="1"/>
  <c r="CU21" i="1"/>
  <c r="CU33" i="1" s="1"/>
  <c r="CP21" i="1"/>
  <c r="CP33" i="1" s="1"/>
  <c r="CK21" i="1"/>
  <c r="CK33" i="1" s="1"/>
  <c r="CF21" i="1"/>
  <c r="CF33" i="1" s="1"/>
  <c r="CA21" i="1"/>
  <c r="CA33" i="1" s="1"/>
  <c r="BV21" i="1"/>
  <c r="BV33" i="1" s="1"/>
  <c r="BQ21" i="1"/>
  <c r="BQ33" i="1" s="1"/>
  <c r="BL21" i="1"/>
  <c r="BL33" i="1" s="1"/>
  <c r="DO16" i="1"/>
  <c r="DJ16" i="1"/>
  <c r="DE16" i="1"/>
  <c r="CZ16" i="1"/>
  <c r="CU16" i="1"/>
  <c r="CP16" i="1"/>
  <c r="CK16" i="1"/>
  <c r="CF16" i="1"/>
  <c r="CA16" i="1"/>
  <c r="BV16" i="1"/>
  <c r="BQ16" i="1"/>
  <c r="BL16" i="1"/>
  <c r="DO15" i="1"/>
  <c r="DJ15" i="1"/>
  <c r="DE15" i="1"/>
  <c r="CZ15" i="1"/>
  <c r="CU15" i="1"/>
  <c r="CP15" i="1"/>
  <c r="CK15" i="1"/>
  <c r="CF15" i="1"/>
  <c r="CA15" i="1"/>
  <c r="BV15" i="1"/>
  <c r="BQ15" i="1"/>
  <c r="BL15" i="1"/>
  <c r="DO14" i="1"/>
  <c r="DJ14" i="1"/>
  <c r="DE14" i="1"/>
  <c r="CZ14" i="1"/>
  <c r="CU14" i="1"/>
  <c r="CP14" i="1"/>
  <c r="CK14" i="1"/>
  <c r="CF14" i="1"/>
  <c r="CA14" i="1"/>
  <c r="BV14" i="1"/>
  <c r="BQ14" i="1"/>
  <c r="BL14" i="1"/>
  <c r="DO13" i="1"/>
  <c r="DJ13" i="1"/>
  <c r="DE13" i="1"/>
  <c r="CZ13" i="1"/>
  <c r="CU13" i="1"/>
  <c r="CP13" i="1"/>
  <c r="CK13" i="1"/>
  <c r="CF13" i="1"/>
  <c r="CA13" i="1"/>
  <c r="BV13" i="1"/>
  <c r="BQ13" i="1"/>
  <c r="BL13" i="1"/>
  <c r="DO12" i="1"/>
  <c r="DJ12" i="1"/>
  <c r="DE12" i="1"/>
  <c r="CZ12" i="1"/>
  <c r="CU12" i="1"/>
  <c r="CP12" i="1"/>
  <c r="CK12" i="1"/>
  <c r="CF12" i="1"/>
  <c r="CA12" i="1"/>
  <c r="BV12" i="1"/>
  <c r="BQ12" i="1"/>
  <c r="BL12" i="1"/>
  <c r="DO11" i="1"/>
  <c r="DJ11" i="1"/>
  <c r="DE11" i="1"/>
  <c r="CZ11" i="1"/>
  <c r="CU11" i="1"/>
  <c r="CP11" i="1"/>
  <c r="CK11" i="1"/>
  <c r="CF11" i="1"/>
  <c r="CA11" i="1"/>
  <c r="BV11" i="1"/>
  <c r="BQ11" i="1"/>
  <c r="BL11" i="1"/>
  <c r="DO10" i="1"/>
  <c r="DJ10" i="1"/>
  <c r="DE10" i="1"/>
  <c r="CZ10" i="1"/>
  <c r="CU10" i="1"/>
  <c r="CP10" i="1"/>
  <c r="CK10" i="1"/>
  <c r="CF10" i="1"/>
  <c r="CA10" i="1"/>
  <c r="BV10" i="1"/>
  <c r="BQ10" i="1"/>
  <c r="BL10" i="1"/>
  <c r="DO9" i="1"/>
  <c r="DJ9" i="1"/>
  <c r="DE9" i="1"/>
  <c r="CZ9" i="1"/>
  <c r="CU9" i="1"/>
  <c r="CP9" i="1"/>
  <c r="CK9" i="1"/>
  <c r="CF9" i="1"/>
  <c r="CA9" i="1"/>
  <c r="BV9" i="1"/>
  <c r="BQ9" i="1"/>
  <c r="BL9" i="1"/>
  <c r="DO8" i="1"/>
  <c r="DJ8" i="1"/>
  <c r="DE8" i="1"/>
  <c r="CZ8" i="1"/>
  <c r="CU8" i="1"/>
  <c r="CP8" i="1"/>
  <c r="CK8" i="1"/>
  <c r="CF8" i="1"/>
  <c r="CA8" i="1"/>
  <c r="BV8" i="1"/>
  <c r="BQ8" i="1"/>
  <c r="BL8" i="1"/>
  <c r="DO7" i="1"/>
  <c r="DJ7" i="1"/>
  <c r="DE7" i="1"/>
  <c r="CZ7" i="1"/>
  <c r="CU7" i="1"/>
  <c r="CP7" i="1"/>
  <c r="CK7" i="1"/>
  <c r="CF7" i="1"/>
  <c r="CA7" i="1"/>
  <c r="BV7" i="1"/>
  <c r="BQ7" i="1"/>
  <c r="BL7" i="1"/>
  <c r="DO6" i="1"/>
  <c r="DJ6" i="1"/>
  <c r="DE6" i="1"/>
  <c r="CZ6" i="1"/>
  <c r="CU6" i="1"/>
  <c r="CP6" i="1"/>
  <c r="CK6" i="1"/>
  <c r="CF6" i="1"/>
  <c r="CA6" i="1"/>
  <c r="BV6" i="1"/>
  <c r="BQ6" i="1"/>
  <c r="BL6" i="1"/>
  <c r="DO5" i="1"/>
  <c r="DO17" i="1" s="1"/>
  <c r="DJ5" i="1"/>
  <c r="DJ17" i="1" s="1"/>
  <c r="DE5" i="1"/>
  <c r="DE17" i="1" s="1"/>
  <c r="CZ5" i="1"/>
  <c r="CZ17" i="1" s="1"/>
  <c r="CU5" i="1"/>
  <c r="CU17" i="1" s="1"/>
  <c r="CP5" i="1"/>
  <c r="CP17" i="1" s="1"/>
  <c r="CK5" i="1"/>
  <c r="CK17" i="1" s="1"/>
  <c r="CF5" i="1"/>
  <c r="CF17" i="1" s="1"/>
  <c r="CA5" i="1"/>
  <c r="CA17" i="1" s="1"/>
  <c r="BV5" i="1"/>
  <c r="BV17" i="1" s="1"/>
  <c r="BQ5" i="1"/>
  <c r="BQ17" i="1" s="1"/>
  <c r="BL5" i="1"/>
  <c r="BL17" i="1" s="1"/>
  <c r="BQ35" i="1" l="1"/>
  <c r="CA35" i="1"/>
  <c r="D17" i="19" s="1"/>
  <c r="CK35" i="1"/>
  <c r="D19" i="19" s="1"/>
  <c r="CU35" i="1"/>
  <c r="D21" i="19" s="1"/>
  <c r="DE35" i="1"/>
  <c r="D23" i="19" s="1"/>
  <c r="DO35" i="1"/>
  <c r="D25" i="19" s="1"/>
  <c r="BL35" i="1"/>
  <c r="D14" i="19" s="1"/>
  <c r="BV35" i="1"/>
  <c r="D16" i="19" s="1"/>
  <c r="CF35" i="1"/>
  <c r="CP35" i="1"/>
  <c r="D20" i="19" s="1"/>
  <c r="CZ35" i="1"/>
  <c r="D22" i="19" s="1"/>
  <c r="DJ35" i="1"/>
  <c r="D24" i="19" s="1"/>
  <c r="DT17" i="1"/>
  <c r="ED17" i="1"/>
  <c r="EN17" i="1"/>
  <c r="EX17" i="1"/>
  <c r="FH17" i="1"/>
  <c r="FR17" i="1"/>
  <c r="DT33" i="1"/>
  <c r="DT35" i="1" s="1"/>
  <c r="ED33" i="1"/>
  <c r="EN33" i="1"/>
  <c r="EN35" i="1" s="1"/>
  <c r="D30" i="19" s="1"/>
  <c r="EX33" i="1"/>
  <c r="EX35" i="1" s="1"/>
  <c r="FH33" i="1"/>
  <c r="FH35" i="1" s="1"/>
  <c r="D34" i="19" s="1"/>
  <c r="FR33" i="1"/>
  <c r="FR35" i="1" s="1"/>
  <c r="DY17" i="1"/>
  <c r="EI17" i="1"/>
  <c r="ES17" i="1"/>
  <c r="FC17" i="1"/>
  <c r="FM17" i="1"/>
  <c r="DY33" i="1"/>
  <c r="EI33" i="1"/>
  <c r="ES33" i="1"/>
  <c r="FC33" i="1"/>
  <c r="FM33" i="1"/>
  <c r="I16" i="1"/>
  <c r="D16" i="1"/>
  <c r="C7" i="21" l="1"/>
  <c r="D26" i="19"/>
  <c r="C6" i="21"/>
  <c r="D18" i="19"/>
  <c r="C5" i="21"/>
  <c r="D15" i="19"/>
  <c r="FM35" i="1"/>
  <c r="ES35" i="1"/>
  <c r="D31" i="19" s="1"/>
  <c r="DY35" i="1"/>
  <c r="C13" i="21"/>
  <c r="D36" i="19"/>
  <c r="C11" i="21"/>
  <c r="D32" i="19"/>
  <c r="ED35" i="1"/>
  <c r="FC35" i="1"/>
  <c r="D33" i="19" s="1"/>
  <c r="EI35" i="1"/>
  <c r="C8" i="21" l="1"/>
  <c r="D27" i="19"/>
  <c r="C12" i="21"/>
  <c r="D35" i="19"/>
  <c r="C10" i="21"/>
  <c r="D29" i="19"/>
  <c r="C9" i="21"/>
  <c r="D28" i="19"/>
  <c r="BG32" i="1"/>
  <c r="BB32" i="1"/>
  <c r="AW32" i="1"/>
  <c r="AR32" i="1"/>
  <c r="AM32" i="1"/>
  <c r="AH32" i="1"/>
  <c r="X32" i="1"/>
  <c r="AC32" i="1"/>
  <c r="S32" i="1"/>
  <c r="N32" i="1"/>
  <c r="I32" i="1"/>
  <c r="D32" i="1"/>
  <c r="BG31" i="1" l="1"/>
  <c r="BG30" i="1"/>
  <c r="BG29" i="1"/>
  <c r="BG28" i="1"/>
  <c r="BG27" i="1"/>
  <c r="BG26" i="1"/>
  <c r="BG25" i="1"/>
  <c r="BG24" i="1"/>
  <c r="BG23" i="1"/>
  <c r="BG22" i="1"/>
  <c r="BG21" i="1"/>
  <c r="BG16" i="1"/>
  <c r="BG15" i="1"/>
  <c r="BG14" i="1"/>
  <c r="BG13" i="1"/>
  <c r="BG12" i="1"/>
  <c r="BG11" i="1"/>
  <c r="BG10" i="1"/>
  <c r="BG9" i="1"/>
  <c r="BG8" i="1"/>
  <c r="BG7" i="1"/>
  <c r="BG6" i="1"/>
  <c r="BG5" i="1"/>
  <c r="BB31" i="1"/>
  <c r="BB30" i="1"/>
  <c r="BB29" i="1"/>
  <c r="BB28" i="1"/>
  <c r="BB27" i="1"/>
  <c r="BB26" i="1"/>
  <c r="BB25" i="1"/>
  <c r="BB24" i="1"/>
  <c r="BB23" i="1"/>
  <c r="BB22" i="1"/>
  <c r="BB21" i="1"/>
  <c r="BB33" i="1" s="1"/>
  <c r="BB16" i="1"/>
  <c r="BB15" i="1"/>
  <c r="BB14" i="1"/>
  <c r="BB13" i="1"/>
  <c r="BB12" i="1"/>
  <c r="BB11" i="1"/>
  <c r="BB10" i="1"/>
  <c r="BB9" i="1"/>
  <c r="BB8" i="1"/>
  <c r="BB7" i="1"/>
  <c r="BB6" i="1"/>
  <c r="BB5" i="1"/>
  <c r="BB17" i="1" s="1"/>
  <c r="AW31" i="1"/>
  <c r="AW30" i="1"/>
  <c r="AW29" i="1"/>
  <c r="AW28" i="1"/>
  <c r="AW27" i="1"/>
  <c r="AW26" i="1"/>
  <c r="AW25" i="1"/>
  <c r="AW24" i="1"/>
  <c r="AW23" i="1"/>
  <c r="AW22" i="1"/>
  <c r="AW21" i="1"/>
  <c r="AW16" i="1"/>
  <c r="AW15" i="1"/>
  <c r="AW14" i="1"/>
  <c r="AW13" i="1"/>
  <c r="AW12" i="1"/>
  <c r="AW11" i="1"/>
  <c r="AW10" i="1"/>
  <c r="AW9" i="1"/>
  <c r="AW8" i="1"/>
  <c r="AW7" i="1"/>
  <c r="AW6" i="1"/>
  <c r="AW5" i="1"/>
  <c r="AR31" i="1"/>
  <c r="AR30" i="1"/>
  <c r="AR29" i="1"/>
  <c r="AR28" i="1"/>
  <c r="AR27" i="1"/>
  <c r="AR26" i="1"/>
  <c r="AR25" i="1"/>
  <c r="AR24" i="1"/>
  <c r="AR23" i="1"/>
  <c r="AR22" i="1"/>
  <c r="AR21" i="1"/>
  <c r="AR16" i="1"/>
  <c r="AR15" i="1"/>
  <c r="AR14" i="1"/>
  <c r="AR13" i="1"/>
  <c r="AR12" i="1"/>
  <c r="AR11" i="1"/>
  <c r="AR10" i="1"/>
  <c r="AR9" i="1"/>
  <c r="AR8" i="1"/>
  <c r="AR7" i="1"/>
  <c r="AR6" i="1"/>
  <c r="AR5" i="1"/>
  <c r="AM31" i="1"/>
  <c r="AM30" i="1"/>
  <c r="AM29" i="1"/>
  <c r="AM28" i="1"/>
  <c r="AM27" i="1"/>
  <c r="AM26" i="1"/>
  <c r="AM25" i="1"/>
  <c r="AM24" i="1"/>
  <c r="AM23" i="1"/>
  <c r="AM22" i="1"/>
  <c r="AM21" i="1"/>
  <c r="AM16" i="1"/>
  <c r="AM15" i="1"/>
  <c r="AM14" i="1"/>
  <c r="AM13" i="1"/>
  <c r="AM12" i="1"/>
  <c r="AM11" i="1"/>
  <c r="AM10" i="1"/>
  <c r="AM9" i="1"/>
  <c r="AM8" i="1"/>
  <c r="AM7" i="1"/>
  <c r="AM6" i="1"/>
  <c r="AM5" i="1"/>
  <c r="AH31" i="1"/>
  <c r="AH30" i="1"/>
  <c r="AH29" i="1"/>
  <c r="AH28" i="1"/>
  <c r="AH27" i="1"/>
  <c r="AH26" i="1"/>
  <c r="AH25" i="1"/>
  <c r="AH24" i="1"/>
  <c r="AH23" i="1"/>
  <c r="AH22" i="1"/>
  <c r="AH21" i="1"/>
  <c r="AH33" i="1" s="1"/>
  <c r="AH16" i="1"/>
  <c r="AH15" i="1"/>
  <c r="AH14" i="1"/>
  <c r="AH13" i="1"/>
  <c r="AH12" i="1"/>
  <c r="AH11" i="1"/>
  <c r="AH10" i="1"/>
  <c r="AH9" i="1"/>
  <c r="AH8" i="1"/>
  <c r="AH7" i="1"/>
  <c r="AH6" i="1"/>
  <c r="AH5" i="1"/>
  <c r="AH17" i="1" s="1"/>
  <c r="AC31" i="1"/>
  <c r="AC30" i="1"/>
  <c r="AC29" i="1"/>
  <c r="AC28" i="1"/>
  <c r="AC27" i="1"/>
  <c r="AC26" i="1"/>
  <c r="AC25" i="1"/>
  <c r="AC24" i="1"/>
  <c r="AC23" i="1"/>
  <c r="AC22" i="1"/>
  <c r="AC21" i="1"/>
  <c r="AC16" i="1"/>
  <c r="AC15" i="1"/>
  <c r="AC14" i="1"/>
  <c r="AC13" i="1"/>
  <c r="AC12" i="1"/>
  <c r="AC11" i="1"/>
  <c r="AC10" i="1"/>
  <c r="AC9" i="1"/>
  <c r="AC8" i="1"/>
  <c r="AC7" i="1"/>
  <c r="AC6" i="1"/>
  <c r="AC5" i="1"/>
  <c r="X31" i="1"/>
  <c r="X30" i="1"/>
  <c r="X29" i="1"/>
  <c r="X28" i="1"/>
  <c r="X27" i="1"/>
  <c r="X26" i="1"/>
  <c r="X25" i="1"/>
  <c r="X24" i="1"/>
  <c r="X23" i="1"/>
  <c r="X22" i="1"/>
  <c r="X21" i="1"/>
  <c r="X33" i="1" s="1"/>
  <c r="X16" i="1"/>
  <c r="X15" i="1"/>
  <c r="X14" i="1"/>
  <c r="X13" i="1"/>
  <c r="X12" i="1"/>
  <c r="X11" i="1"/>
  <c r="X10" i="1"/>
  <c r="X9" i="1"/>
  <c r="X8" i="1"/>
  <c r="X7" i="1"/>
  <c r="X6" i="1"/>
  <c r="X5" i="1"/>
  <c r="X17" i="1" s="1"/>
  <c r="S31" i="1"/>
  <c r="S30" i="1"/>
  <c r="S29" i="1"/>
  <c r="S28" i="1"/>
  <c r="S27" i="1"/>
  <c r="S26" i="1"/>
  <c r="S25" i="1"/>
  <c r="S24" i="1"/>
  <c r="S23" i="1"/>
  <c r="S22" i="1"/>
  <c r="S21" i="1"/>
  <c r="S16" i="1"/>
  <c r="S15" i="1"/>
  <c r="S14" i="1"/>
  <c r="S13" i="1"/>
  <c r="S12" i="1"/>
  <c r="S11" i="1"/>
  <c r="S10" i="1"/>
  <c r="S9" i="1"/>
  <c r="S8" i="1"/>
  <c r="S7" i="1"/>
  <c r="S6" i="1"/>
  <c r="S5" i="1"/>
  <c r="N31" i="1"/>
  <c r="N30" i="1"/>
  <c r="N29" i="1"/>
  <c r="N28" i="1"/>
  <c r="N27" i="1"/>
  <c r="N26" i="1"/>
  <c r="N25" i="1"/>
  <c r="N24" i="1"/>
  <c r="N23" i="1"/>
  <c r="N22" i="1"/>
  <c r="N21" i="1"/>
  <c r="N16" i="1"/>
  <c r="N15" i="1"/>
  <c r="N14" i="1"/>
  <c r="N13" i="1"/>
  <c r="N12" i="1"/>
  <c r="N11" i="1"/>
  <c r="N10" i="1"/>
  <c r="N9" i="1"/>
  <c r="N8" i="1"/>
  <c r="N7" i="1"/>
  <c r="N6" i="1"/>
  <c r="N5" i="1"/>
  <c r="I31" i="1"/>
  <c r="I30" i="1"/>
  <c r="I29" i="1"/>
  <c r="I28" i="1"/>
  <c r="I27" i="1"/>
  <c r="I26" i="1"/>
  <c r="I25" i="1"/>
  <c r="I24" i="1"/>
  <c r="I23" i="1"/>
  <c r="I22" i="1"/>
  <c r="I21" i="1"/>
  <c r="I15" i="1"/>
  <c r="I14" i="1"/>
  <c r="I13" i="1"/>
  <c r="I12" i="1"/>
  <c r="I11" i="1"/>
  <c r="I10" i="1"/>
  <c r="I9" i="1"/>
  <c r="I8" i="1"/>
  <c r="I7" i="1"/>
  <c r="I6" i="1"/>
  <c r="I5" i="1"/>
  <c r="AH35" i="1" l="1"/>
  <c r="D8" i="19" s="1"/>
  <c r="I33" i="1"/>
  <c r="S17" i="1"/>
  <c r="S33" i="1"/>
  <c r="AM17" i="1"/>
  <c r="AM35" i="1" s="1"/>
  <c r="AM33" i="1"/>
  <c r="AR33" i="1"/>
  <c r="BB35" i="1"/>
  <c r="X35" i="1"/>
  <c r="D6" i="19" s="1"/>
  <c r="I17" i="1"/>
  <c r="N17" i="1"/>
  <c r="N33" i="1"/>
  <c r="AC17" i="1"/>
  <c r="AC33" i="1"/>
  <c r="AR17" i="1"/>
  <c r="AR35" i="1" s="1"/>
  <c r="D10" i="19" s="1"/>
  <c r="AW17" i="1"/>
  <c r="AW33" i="1"/>
  <c r="BG17" i="1"/>
  <c r="BG33" i="1"/>
  <c r="D6" i="1"/>
  <c r="D7" i="1"/>
  <c r="D8" i="1"/>
  <c r="D9" i="1"/>
  <c r="D10" i="1"/>
  <c r="D11" i="1"/>
  <c r="D12" i="1"/>
  <c r="D13" i="1"/>
  <c r="D14" i="1"/>
  <c r="D15" i="1"/>
  <c r="D21" i="1"/>
  <c r="D22" i="1"/>
  <c r="D23" i="1"/>
  <c r="D24" i="1"/>
  <c r="D25" i="1"/>
  <c r="D26" i="1"/>
  <c r="D27" i="1"/>
  <c r="D28" i="1"/>
  <c r="D29" i="1"/>
  <c r="D30" i="1"/>
  <c r="D31" i="1"/>
  <c r="D5" i="1"/>
  <c r="D17" i="1" s="1"/>
  <c r="C3" i="21" l="1"/>
  <c r="D9" i="19"/>
  <c r="S35" i="1"/>
  <c r="C4" i="21"/>
  <c r="D12" i="19"/>
  <c r="AC35" i="1"/>
  <c r="D7" i="19" s="1"/>
  <c r="N35" i="1"/>
  <c r="D4" i="19" s="1"/>
  <c r="I35" i="1"/>
  <c r="D3" i="19" s="1"/>
  <c r="D33" i="1"/>
  <c r="D35" i="1" s="1"/>
  <c r="D2" i="19" s="1"/>
  <c r="BG35" i="1"/>
  <c r="D13" i="19" s="1"/>
  <c r="AW35" i="1"/>
  <c r="D11" i="19" s="1"/>
  <c r="C2" i="21" l="1"/>
  <c r="D5" i="19"/>
  <c r="F5" i="27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<sst xmlns="http://schemas.openxmlformats.org/spreadsheetml/2006/main" count="809" uniqueCount="109">
  <si>
    <t>Fecha</t>
  </si>
  <si>
    <t>Cierre</t>
  </si>
  <si>
    <t>% var.</t>
  </si>
  <si>
    <t>Var.</t>
  </si>
  <si>
    <t>Año 1</t>
  </si>
  <si>
    <t>Año 2</t>
  </si>
  <si>
    <t>Var. Anual</t>
  </si>
  <si>
    <t>Rendimiento anual promedio</t>
  </si>
  <si>
    <t>MATRIZ DE CORRELACIONES</t>
  </si>
  <si>
    <t xml:space="preserve">Grupo Televisa SAB Unit (TLEVISACPO) </t>
  </si>
  <si>
    <t>Oct 2020</t>
  </si>
  <si>
    <t>Infraestructura Energetica Nova SAB (IENOVA)</t>
  </si>
  <si>
    <t>Kimberly-Clark de Mexico A (KIMBERA)</t>
  </si>
  <si>
    <t>Megacable Holdings, S.A.B. De C.V. (MEGACPO)</t>
  </si>
  <si>
    <t>Grupo Aeroportuario Del CentroNorte (OMAB)</t>
  </si>
  <si>
    <t>Orbia Advance Corporation SAB de CV (ORBIA)</t>
  </si>
  <si>
    <t>Industrias Penoles Sab De CV (PEOLES)</t>
  </si>
  <si>
    <t>PINFRA SAB De CV (PINFRA)</t>
  </si>
  <si>
    <t>Qualitas Controladora, SAB De CV (Q)</t>
  </si>
  <si>
    <t>Telesites SAB de CV (SITESB1)</t>
  </si>
  <si>
    <t>Wal-Mart De Mexico, SAB De CV (WALMEX)</t>
  </si>
  <si>
    <t>El Puerto De Liverpool Sab De CV (LIVEPOLC1)</t>
  </si>
  <si>
    <t>Grupo Elektra, S.A.B. De C.V. (ELEKTRA)</t>
  </si>
  <si>
    <t>Grupo Financiero Banorte (GFNORTEO)</t>
  </si>
  <si>
    <t>Fomento Economico Mexicano UBD (FEMSAUBD)</t>
  </si>
  <si>
    <t>Genomma Lab Internacional SAB De CV (LABB)</t>
  </si>
  <si>
    <t>Gentera SAB de CV (GENTERA)</t>
  </si>
  <si>
    <t>Grupo Mexico, S.A.B. De C.V. (GMEXICOB)</t>
  </si>
  <si>
    <t>Gruma SAB de CV (GRUMAB)</t>
  </si>
  <si>
    <t>Grupo Aeroportuario del Pacifico SAB De CV Class B (GAPB)</t>
  </si>
  <si>
    <t>Grupo Carso, S.A.B. De C.V. (GCARSOA1)</t>
  </si>
  <si>
    <t>Grupo Cementos De Chihuahua (GCC)</t>
  </si>
  <si>
    <t>Grupo Financiero Inbursa, SAB De CV (GFINBURO)</t>
  </si>
  <si>
    <t>IPC</t>
  </si>
  <si>
    <t>var.</t>
  </si>
  <si>
    <t>Beta</t>
  </si>
  <si>
    <t>Alfa, S.A.B. De C.V. (ALFAA)</t>
  </si>
  <si>
    <t>America Movil SAB de CV (AMXL)</t>
  </si>
  <si>
    <t>Arca Continental, S.A.B. De C.V. (AC)</t>
  </si>
  <si>
    <t>Corporación Inmobiliaria Vesta SAB (VESTA)</t>
  </si>
  <si>
    <t>Coca-Cola Femsa SAB de CV (KOFUBL)</t>
  </si>
  <si>
    <t>Cemex SAB de CV (CEMEXCPO)</t>
  </si>
  <si>
    <t>Bolsa Mexicana De Valores SAB De CV (BOLSAA)</t>
  </si>
  <si>
    <t>Grupo Bimbo, S.A.B. De C.V. (BIMBOA)</t>
  </si>
  <si>
    <t>Becle SA de CV (CUERVO)</t>
  </si>
  <si>
    <t>Banco Del Bajio SA Institution De Banca Multiple (BBAJIOO)</t>
  </si>
  <si>
    <t>Grupo Aeroportuario Del Sureste (ASURB)</t>
  </si>
  <si>
    <t>Alsea, S.A.B. De C.V. (ALSEA)</t>
  </si>
  <si>
    <t>Correlación</t>
  </si>
  <si>
    <t>&lt;0</t>
  </si>
  <si>
    <t>0 a 0.5</t>
  </si>
  <si>
    <t>&gt;0.5</t>
  </si>
  <si>
    <t>Acción</t>
  </si>
  <si>
    <t>Fomento Económico Mexicano UBD (FEMSAUBD)</t>
  </si>
  <si>
    <t>Grupo Aeroportuario del Pacífico SAB De CV Class B (GAPB)</t>
  </si>
  <si>
    <t>Wal-Mart De México, SAB De CV (WALMEX)</t>
  </si>
  <si>
    <t>Etiqueta</t>
  </si>
  <si>
    <t>Activo con ninguna correlación mayor a 0.5</t>
  </si>
  <si>
    <t>Activo con una correlación mayor a 0.5</t>
  </si>
  <si>
    <t>Activo con  dos correlaciones mayores a 0.5</t>
  </si>
  <si>
    <t>MATRIZ DE VARIANZAS Y COVARIANZAS</t>
  </si>
  <si>
    <t>CETES</t>
  </si>
  <si>
    <t>ALFAA</t>
  </si>
  <si>
    <t>ALSEA</t>
  </si>
  <si>
    <t>AMXL</t>
  </si>
  <si>
    <t>AC</t>
  </si>
  <si>
    <t>ASURB</t>
  </si>
  <si>
    <t>BBAJIOO</t>
  </si>
  <si>
    <t>CUERVO</t>
  </si>
  <si>
    <t>BIMBOA</t>
  </si>
  <si>
    <t>BOLSAA</t>
  </si>
  <si>
    <t>CEMEXCPO</t>
  </si>
  <si>
    <t>KOFUBL</t>
  </si>
  <si>
    <t>VESTA</t>
  </si>
  <si>
    <t>LIVEPOLC1</t>
  </si>
  <si>
    <t>ELEKTRA</t>
  </si>
  <si>
    <t>GFNORTEO</t>
  </si>
  <si>
    <t>FEMSAUBD</t>
  </si>
  <si>
    <t>LABB</t>
  </si>
  <si>
    <t>GENTERA</t>
  </si>
  <si>
    <t>GMEXICOB</t>
  </si>
  <si>
    <t>GRUMAB</t>
  </si>
  <si>
    <t>GAPB</t>
  </si>
  <si>
    <t>GCARSOA1</t>
  </si>
  <si>
    <t>GCC</t>
  </si>
  <si>
    <t>GFINBURO</t>
  </si>
  <si>
    <t>TLEVISACPO</t>
  </si>
  <si>
    <t>IENOVA</t>
  </si>
  <si>
    <t>KIMBERA</t>
  </si>
  <si>
    <t>MEGACPO</t>
  </si>
  <si>
    <t>OMAB</t>
  </si>
  <si>
    <t>ORBIA</t>
  </si>
  <si>
    <t>PEOLES</t>
  </si>
  <si>
    <t>PINFRA</t>
  </si>
  <si>
    <t>Q</t>
  </si>
  <si>
    <t>SITESB1</t>
  </si>
  <si>
    <t>WALMEX</t>
  </si>
  <si>
    <t>E(Rj)</t>
  </si>
  <si>
    <t>r=</t>
  </si>
  <si>
    <t>Bj</t>
  </si>
  <si>
    <t>Zj</t>
  </si>
  <si>
    <t>wj</t>
  </si>
  <si>
    <t>Total</t>
  </si>
  <si>
    <t>E(Rp)</t>
  </si>
  <si>
    <t>Bp</t>
  </si>
  <si>
    <t>Varp</t>
  </si>
  <si>
    <t>Portafolio para una persona amante al riesgo</t>
  </si>
  <si>
    <t>Matriz de covarianzas</t>
  </si>
  <si>
    <t>Portafolio con activos no correlacionados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</si>
</sst>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0"/>
    <numFmt numFmtId="167" formatCode="0.00000000"/>
    <numFmt numFmtId="168" formatCode="0.000000"/>
    <numFmt numFmtId="169" formatCode="0.000000000"/>
    <numFmt numFmtId="170" formatCode="0.0000000000"/>
  </numFmts>
  <fonts count="1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333333"/>
      <name val="Inherit"/>
    </font>
    <font>
      <sz val="9"/>
      <color rgb="FF0EA600"/>
      <name val="Arial"/>
      <family val="2"/>
    </font>
    <font>
      <b/>
      <sz val="9"/>
      <color rgb="FF0EA600"/>
      <name val="Inherit"/>
    </font>
    <font>
      <sz val="9"/>
      <color rgb="FFFF0000"/>
      <name val="Arial"/>
      <family val="2"/>
    </font>
    <font>
      <b/>
      <sz val="9"/>
      <color rgb="FFFF0000"/>
      <name val="Inherit"/>
    </font>
    <font>
      <sz val="11"/>
      <color theme="0"/>
      <name val="Calibri"/>
      <family val="2"/>
      <scheme val="minor"/>
    </font>
    <font>
      <b/>
      <sz val="9"/>
      <color theme="1"/>
      <name val="Inherit"/>
    </font>
  </fonts>
  <fills count="2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17" fontId="0" fillId="0" borderId="0" xfId="0" applyNumberFormat="1"/>
    <xf numFmtId="10" fontId="0" fillId="0" borderId="0" xfId="0" applyNumberFormat="1"/>
    <xf numFmtId="0" fontId="0" fillId="0" borderId="2" xfId="0" applyBorder="1"/>
    <xf numFmtId="10" fontId="0" fillId="0" borderId="2" xfId="0" applyNumberFormat="1" applyBorder="1"/>
    <xf numFmtId="0" fontId="0" fillId="0" borderId="4" xfId="0" applyBorder="1"/>
    <xf numFmtId="0" fontId="0" fillId="0" borderId="9" xfId="0" applyBorder="1"/>
    <xf numFmtId="17" fontId="0" fillId="0" borderId="8" xfId="0" applyNumberFormat="1" applyBorder="1"/>
    <xf numFmtId="17" fontId="0" fillId="0" borderId="10" xfId="0" applyNumberFormat="1" applyBorder="1"/>
    <xf numFmtId="0" fontId="0" fillId="0" borderId="11" xfId="0" applyBorder="1"/>
    <xf numFmtId="10" fontId="0" fillId="0" borderId="11" xfId="0" applyNumberFormat="1" applyBorder="1"/>
    <xf numFmtId="0" fontId="0" fillId="0" borderId="12" xfId="0" applyBorder="1"/>
    <xf numFmtId="0" fontId="0" fillId="3" borderId="8" xfId="0" applyFont="1" applyFill="1" applyBorder="1"/>
    <xf numFmtId="0" fontId="0" fillId="3" borderId="2" xfId="0" applyFont="1" applyFill="1" applyBorder="1"/>
    <xf numFmtId="0" fontId="0" fillId="3" borderId="9" xfId="0" applyFont="1" applyFill="1" applyBorder="1"/>
    <xf numFmtId="10" fontId="2" fillId="4" borderId="3" xfId="0" applyNumberFormat="1" applyFont="1" applyFill="1" applyBorder="1"/>
    <xf numFmtId="0" fontId="1" fillId="0" borderId="0" xfId="0" applyFont="1"/>
    <xf numFmtId="0" fontId="2" fillId="0" borderId="0" xfId="0" applyFont="1"/>
    <xf numFmtId="2" fontId="0" fillId="0" borderId="12" xfId="0" applyNumberFormat="1" applyBorder="1"/>
    <xf numFmtId="164" fontId="0" fillId="0" borderId="12" xfId="0" applyNumberFormat="1" applyBorder="1"/>
    <xf numFmtId="165" fontId="0" fillId="0" borderId="12" xfId="0" applyNumberFormat="1" applyBorder="1"/>
    <xf numFmtId="167" fontId="0" fillId="0" borderId="0" xfId="0" applyNumberFormat="1"/>
    <xf numFmtId="0" fontId="0" fillId="0" borderId="0" xfId="0"/>
    <xf numFmtId="0" fontId="0" fillId="0" borderId="2" xfId="0" applyBorder="1"/>
    <xf numFmtId="0" fontId="0" fillId="0" borderId="0" xfId="0" applyFont="1"/>
    <xf numFmtId="17" fontId="0" fillId="0" borderId="0" xfId="0" applyNumberFormat="1" applyFont="1"/>
    <xf numFmtId="10" fontId="0" fillId="0" borderId="0" xfId="0" applyNumberFormat="1" applyFont="1"/>
    <xf numFmtId="0" fontId="0" fillId="0" borderId="0" xfId="0" applyFont="1" applyFill="1" applyBorder="1"/>
    <xf numFmtId="17" fontId="0" fillId="0" borderId="8" xfId="0" applyNumberFormat="1" applyBorder="1" applyAlignment="1">
      <alignment horizontal="right"/>
    </xf>
    <xf numFmtId="0" fontId="8" fillId="6" borderId="0" xfId="0" applyFont="1" applyFill="1"/>
    <xf numFmtId="168" fontId="8" fillId="6" borderId="0" xfId="0" applyNumberFormat="1" applyFont="1" applyFill="1"/>
    <xf numFmtId="168" fontId="8" fillId="7" borderId="0" xfId="0" applyNumberFormat="1" applyFont="1" applyFill="1"/>
    <xf numFmtId="166" fontId="8" fillId="7" borderId="0" xfId="0" applyNumberFormat="1" applyFont="1" applyFill="1"/>
    <xf numFmtId="0" fontId="8" fillId="7" borderId="0" xfId="0" applyFont="1" applyFill="1"/>
    <xf numFmtId="0" fontId="2" fillId="8" borderId="18" xfId="0" applyFont="1" applyFill="1" applyBorder="1" applyAlignment="1">
      <alignment horizontal="left"/>
    </xf>
    <xf numFmtId="0" fontId="2" fillId="8" borderId="19" xfId="0" applyFont="1" applyFill="1" applyBorder="1"/>
    <xf numFmtId="0" fontId="0" fillId="0" borderId="20" xfId="0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Fill="1" applyBorder="1" applyAlignment="1">
      <alignment horizontal="left" vertical="center" indent="1" readingOrder="1"/>
    </xf>
    <xf numFmtId="0" fontId="6" fillId="0" borderId="0" xfId="0" applyFont="1" applyFill="1" applyBorder="1" applyAlignment="1">
      <alignment horizontal="right" vertical="center" wrapText="1" readingOrder="1"/>
    </xf>
    <xf numFmtId="10" fontId="7" fillId="0" borderId="0" xfId="0" applyNumberFormat="1" applyFont="1" applyFill="1" applyBorder="1" applyAlignment="1">
      <alignment horizontal="right" vertical="center" wrapText="1" indent="1" readingOrder="1"/>
    </xf>
    <xf numFmtId="17" fontId="3" fillId="0" borderId="0" xfId="0" applyNumberFormat="1" applyFont="1" applyFill="1" applyBorder="1" applyAlignment="1">
      <alignment horizontal="left" vertical="center" indent="1" readingOrder="1"/>
    </xf>
    <xf numFmtId="0" fontId="4" fillId="0" borderId="0" xfId="0" applyFont="1" applyFill="1" applyBorder="1" applyAlignment="1">
      <alignment horizontal="right" vertical="center" wrapText="1" readingOrder="1"/>
    </xf>
    <xf numFmtId="10" fontId="5" fillId="0" borderId="0" xfId="0" applyNumberFormat="1" applyFont="1" applyFill="1" applyBorder="1" applyAlignment="1">
      <alignment horizontal="right" vertical="center" wrapText="1" indent="1" readingOrder="1"/>
    </xf>
    <xf numFmtId="10" fontId="9" fillId="0" borderId="0" xfId="0" applyNumberFormat="1" applyFont="1" applyFill="1" applyBorder="1" applyAlignment="1">
      <alignment horizontal="right" vertical="center" wrapText="1" indent="1" readingOrder="1"/>
    </xf>
    <xf numFmtId="4" fontId="6" fillId="0" borderId="0" xfId="0" applyNumberFormat="1" applyFont="1" applyFill="1" applyBorder="1" applyAlignment="1">
      <alignment horizontal="right" vertical="center" wrapText="1" readingOrder="1"/>
    </xf>
    <xf numFmtId="4" fontId="4" fillId="0" borderId="0" xfId="0" applyNumberFormat="1" applyFont="1" applyFill="1" applyBorder="1" applyAlignment="1">
      <alignment horizontal="right" vertical="center" wrapText="1" readingOrder="1"/>
    </xf>
    <xf numFmtId="0" fontId="0" fillId="0" borderId="0" xfId="0" applyFill="1"/>
    <xf numFmtId="0" fontId="0" fillId="0" borderId="0" xfId="0" applyFill="1" applyBorder="1" applyAlignment="1"/>
    <xf numFmtId="168" fontId="8" fillId="0" borderId="0" xfId="0" applyNumberFormat="1" applyFont="1" applyFill="1"/>
    <xf numFmtId="0" fontId="8" fillId="0" borderId="0" xfId="0" applyFont="1" applyFill="1"/>
    <xf numFmtId="0" fontId="8" fillId="11" borderId="0" xfId="0" applyNumberFormat="1" applyFont="1" applyFill="1"/>
    <xf numFmtId="168" fontId="8" fillId="11" borderId="0" xfId="0" applyNumberFormat="1" applyFont="1" applyFill="1"/>
    <xf numFmtId="0" fontId="8" fillId="11" borderId="0" xfId="0" applyFont="1" applyFill="1"/>
    <xf numFmtId="0" fontId="8" fillId="6" borderId="2" xfId="0" applyFont="1" applyFill="1" applyBorder="1"/>
    <xf numFmtId="0" fontId="8" fillId="7" borderId="2" xfId="0" applyFont="1" applyFill="1" applyBorder="1"/>
    <xf numFmtId="0" fontId="8" fillId="11" borderId="2" xfId="0" applyFont="1" applyFill="1" applyBorder="1"/>
    <xf numFmtId="0" fontId="0" fillId="12" borderId="5" xfId="0" applyFill="1" applyBorder="1"/>
    <xf numFmtId="0" fontId="0" fillId="4" borderId="7" xfId="0" applyFill="1" applyBorder="1"/>
    <xf numFmtId="0" fontId="0" fillId="13" borderId="8" xfId="0" applyFill="1" applyBorder="1"/>
    <xf numFmtId="17" fontId="0" fillId="13" borderId="8" xfId="0" applyNumberFormat="1" applyFill="1" applyBorder="1"/>
    <xf numFmtId="17" fontId="0" fillId="13" borderId="10" xfId="0" applyNumberFormat="1" applyFill="1" applyBorder="1"/>
    <xf numFmtId="0" fontId="8" fillId="14" borderId="0" xfId="0" applyFont="1" applyFill="1"/>
    <xf numFmtId="1" fontId="0" fillId="15" borderId="0" xfId="0" applyNumberFormat="1" applyFill="1"/>
    <xf numFmtId="1" fontId="0" fillId="16" borderId="0" xfId="0" applyNumberFormat="1" applyFill="1"/>
    <xf numFmtId="1" fontId="0" fillId="17" borderId="0" xfId="0" applyNumberFormat="1" applyFill="1"/>
    <xf numFmtId="0" fontId="0" fillId="8" borderId="0" xfId="0" applyFill="1"/>
    <xf numFmtId="169" fontId="0" fillId="17" borderId="0" xfId="0" applyNumberFormat="1" applyFill="1"/>
    <xf numFmtId="169" fontId="0" fillId="15" borderId="0" xfId="0" applyNumberFormat="1" applyFill="1"/>
    <xf numFmtId="169" fontId="0" fillId="16" borderId="0" xfId="0" applyNumberFormat="1" applyFill="1"/>
    <xf numFmtId="0" fontId="0" fillId="0" borderId="0" xfId="0" applyAlignment="1"/>
    <xf numFmtId="165" fontId="0" fillId="0" borderId="0" xfId="0" applyNumberFormat="1"/>
    <xf numFmtId="165" fontId="0" fillId="0" borderId="0" xfId="0" applyNumberFormat="1" applyFill="1"/>
    <xf numFmtId="165" fontId="0" fillId="19" borderId="0" xfId="0" applyNumberFormat="1" applyFill="1"/>
    <xf numFmtId="0" fontId="0" fillId="0" borderId="0" xfId="0" applyFill="1" applyAlignment="1"/>
    <xf numFmtId="0" fontId="0" fillId="4" borderId="14" xfId="0" applyFill="1" applyBorder="1"/>
    <xf numFmtId="170" fontId="0" fillId="0" borderId="21" xfId="0" applyNumberFormat="1" applyFill="1" applyBorder="1"/>
    <xf numFmtId="170" fontId="0" fillId="18" borderId="9" xfId="0" applyNumberFormat="1" applyFill="1" applyBorder="1"/>
    <xf numFmtId="170" fontId="0" fillId="0" borderId="0" xfId="0" applyNumberFormat="1" applyFill="1" applyBorder="1"/>
    <xf numFmtId="170" fontId="0" fillId="17" borderId="0" xfId="0" applyNumberFormat="1" applyFill="1"/>
    <xf numFmtId="170" fontId="0" fillId="15" borderId="0" xfId="0" applyNumberFormat="1" applyFill="1"/>
    <xf numFmtId="170" fontId="0" fillId="18" borderId="0" xfId="0" applyNumberFormat="1" applyFill="1"/>
    <xf numFmtId="170" fontId="0" fillId="16" borderId="0" xfId="0" applyNumberFormat="1" applyFill="1"/>
    <xf numFmtId="0" fontId="0" fillId="0" borderId="0" xfId="0" applyAlignment="1">
      <alignment horizontal="right"/>
    </xf>
    <xf numFmtId="0" fontId="0" fillId="20" borderId="0" xfId="0" applyFill="1"/>
    <xf numFmtId="2" fontId="0" fillId="0" borderId="0" xfId="0" applyNumberFormat="1"/>
    <xf numFmtId="0" fontId="2" fillId="0" borderId="0" xfId="0" applyFont="1" applyAlignment="1"/>
    <xf numFmtId="17" fontId="0" fillId="0" borderId="0" xfId="0" applyNumberFormat="1" applyFill="1"/>
    <xf numFmtId="169" fontId="0" fillId="18" borderId="0" xfId="0" applyNumberFormat="1" applyFill="1"/>
    <xf numFmtId="0" fontId="2" fillId="0" borderId="0" xfId="0" applyFont="1" applyAlignment="1">
      <alignment horizontal="center"/>
    </xf>
    <xf numFmtId="0" fontId="1" fillId="10" borderId="13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10" borderId="15" xfId="0" applyFont="1" applyFill="1" applyBorder="1" applyAlignment="1">
      <alignment horizontal="center" wrapText="1"/>
    </xf>
    <xf numFmtId="0" fontId="1" fillId="10" borderId="13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9" borderId="13" xfId="0" applyFont="1" applyFill="1" applyBorder="1" applyAlignment="1">
      <alignment horizontal="center" wrapText="1"/>
    </xf>
    <xf numFmtId="0" fontId="1" fillId="9" borderId="14" xfId="0" applyFont="1" applyFill="1" applyBorder="1" applyAlignment="1">
      <alignment horizontal="center" wrapText="1"/>
    </xf>
    <xf numFmtId="0" fontId="1" fillId="9" borderId="15" xfId="0" applyFont="1" applyFill="1" applyBorder="1" applyAlignment="1">
      <alignment horizont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9" borderId="14" xfId="0" applyFont="1" applyFill="1" applyBorder="1" applyAlignment="1">
      <alignment horizontal="center" vertical="center" wrapText="1"/>
    </xf>
    <xf numFmtId="0" fontId="1" fillId="9" borderId="15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0" fontId="1" fillId="2" borderId="13" xfId="0" applyFont="1" applyFill="1" applyBorder="1" applyAlignment="1">
      <alignment horizontal="center" wrapText="1"/>
    </xf>
    <xf numFmtId="0" fontId="1" fillId="2" borderId="14" xfId="0" applyFont="1" applyFill="1" applyBorder="1" applyAlignment="1">
      <alignment horizontal="center" wrapText="1"/>
    </xf>
    <xf numFmtId="0" fontId="1" fillId="2" borderId="15" xfId="0" applyFont="1" applyFill="1" applyBorder="1" applyAlignment="1">
      <alignment horizontal="center" wrapText="1"/>
    </xf>
    <xf numFmtId="17" fontId="1" fillId="2" borderId="5" xfId="0" applyNumberFormat="1" applyFont="1" applyFill="1" applyBorder="1" applyAlignment="1">
      <alignment horizontal="center"/>
    </xf>
    <xf numFmtId="17" fontId="1" fillId="2" borderId="6" xfId="0" applyNumberFormat="1" applyFont="1" applyFill="1" applyBorder="1" applyAlignment="1">
      <alignment horizontal="center"/>
    </xf>
    <xf numFmtId="17" fontId="1" fillId="2" borderId="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17" fontId="2" fillId="5" borderId="17" xfId="0" applyNumberFormat="1" applyFont="1" applyFill="1" applyBorder="1" applyAlignment="1">
      <alignment horizontal="center" vertical="center" readingOrder="1"/>
    </xf>
    <xf numFmtId="17" fontId="2" fillId="5" borderId="16" xfId="0" applyNumberFormat="1" applyFont="1" applyFill="1" applyBorder="1" applyAlignment="1">
      <alignment horizontal="center" vertical="center" readingOrder="1"/>
    </xf>
    <xf numFmtId="17" fontId="2" fillId="5" borderId="17" xfId="0" applyNumberFormat="1" applyFont="1" applyFill="1" applyBorder="1" applyAlignment="1">
      <alignment horizontal="center" vertical="center" wrapText="1" readingOrder="1"/>
    </xf>
    <xf numFmtId="17" fontId="2" fillId="5" borderId="16" xfId="0" applyNumberFormat="1" applyFont="1" applyFill="1" applyBorder="1" applyAlignment="1">
      <alignment horizontal="center" vertical="center" wrapText="1" readingOrder="1"/>
    </xf>
    <xf numFmtId="17" fontId="0" fillId="0" borderId="2" xfId="0" applyNumberFormat="1" applyBorder="1"/>
    <xf numFmtId="167" fontId="0" fillId="0" borderId="2" xfId="0" applyNumberFormat="1" applyBorder="1"/>
    <xf numFmtId="0" fontId="0" fillId="20" borderId="2" xfId="0" applyFill="1" applyBorder="1"/>
    <xf numFmtId="0" fontId="0" fillId="21" borderId="2" xfId="0" applyFill="1" applyBorder="1"/>
    <xf numFmtId="0" fontId="0" fillId="22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70B84-6049-49A5-AF89-CF90184CD99F}">
  <sheetPr codeName="Hoja2"/>
  <dimension ref="A1:I81"/>
  <sheetViews>
    <sheetView topLeftCell="D15" zoomScaleNormal="100" workbookViewId="0">
      <selection activeCell="F3" sqref="F3:I3"/>
    </sheetView>
  </sheetViews>
  <sheetFormatPr baseColWidth="10" defaultRowHeight="15"/>
  <cols>
    <col min="1" max="16384" width="11.42578125" style="22"/>
  </cols>
  <sheetData>
    <row r="1" spans="1:9">
      <c r="A1" s="98" t="s">
        <v>33</v>
      </c>
      <c r="B1" s="98"/>
      <c r="C1" s="98"/>
      <c r="D1" s="98"/>
      <c r="F1" s="90" t="s">
        <v>61</v>
      </c>
      <c r="G1" s="90"/>
      <c r="H1" s="90"/>
      <c r="I1" s="90"/>
    </row>
    <row r="2" spans="1:9" ht="15.75" thickBot="1">
      <c r="A2" s="99"/>
      <c r="B2" s="99"/>
      <c r="C2" s="99"/>
      <c r="D2" s="99"/>
      <c r="F2" s="90"/>
      <c r="G2" s="90"/>
      <c r="H2" s="90"/>
      <c r="I2" s="90"/>
    </row>
    <row r="3" spans="1:9">
      <c r="A3" s="100" t="s">
        <v>4</v>
      </c>
      <c r="B3" s="101"/>
      <c r="C3" s="101"/>
      <c r="D3" s="102"/>
      <c r="F3" s="91" t="s">
        <v>4</v>
      </c>
      <c r="G3" s="92"/>
      <c r="H3" s="92"/>
      <c r="I3" s="93"/>
    </row>
    <row r="4" spans="1:9">
      <c r="A4" s="12" t="s">
        <v>0</v>
      </c>
      <c r="B4" s="13" t="s">
        <v>1</v>
      </c>
      <c r="C4" s="13" t="s">
        <v>2</v>
      </c>
      <c r="D4" s="14" t="s">
        <v>3</v>
      </c>
      <c r="F4" s="12" t="s">
        <v>0</v>
      </c>
      <c r="G4" s="13" t="s">
        <v>1</v>
      </c>
      <c r="H4" s="13" t="s">
        <v>2</v>
      </c>
      <c r="I4" s="14" t="s">
        <v>34</v>
      </c>
    </row>
    <row r="5" spans="1:9">
      <c r="A5" s="7">
        <v>44105</v>
      </c>
      <c r="B5" s="23">
        <v>36987.86</v>
      </c>
      <c r="C5" s="4">
        <v>-1.26E-2</v>
      </c>
      <c r="D5" s="6">
        <f>(B5-B6)/B6</f>
        <v>-1.2569313021891628E-2</v>
      </c>
      <c r="F5" s="7">
        <v>44105</v>
      </c>
      <c r="G5" s="23">
        <v>4.49</v>
      </c>
      <c r="H5" s="4">
        <v>3.6999999999999998E-2</v>
      </c>
      <c r="I5" s="6">
        <f>G5/G6-1</f>
        <v>3.6951501154734334E-2</v>
      </c>
    </row>
    <row r="6" spans="1:9">
      <c r="A6" s="7">
        <v>44075</v>
      </c>
      <c r="B6" s="23">
        <v>37458.69</v>
      </c>
      <c r="C6" s="4">
        <v>1.6799999999999999E-2</v>
      </c>
      <c r="D6" s="6">
        <f t="shared" ref="D6:D15" si="0">(B6-B7)/B7</f>
        <v>1.6773826142967282E-2</v>
      </c>
      <c r="F6" s="7">
        <v>44075</v>
      </c>
      <c r="G6" s="23">
        <v>4.33</v>
      </c>
      <c r="H6" s="4">
        <v>-3.78E-2</v>
      </c>
      <c r="I6" s="6">
        <f t="shared" ref="I6:I15" si="1">G6/G7-1</f>
        <v>-3.7777777777777799E-2</v>
      </c>
    </row>
    <row r="7" spans="1:9">
      <c r="A7" s="7">
        <v>44044</v>
      </c>
      <c r="B7" s="23">
        <v>36840.730000000003</v>
      </c>
      <c r="C7" s="4">
        <v>-4.7999999999999996E-3</v>
      </c>
      <c r="D7" s="6">
        <f t="shared" si="0"/>
        <v>-4.8339153660970895E-3</v>
      </c>
      <c r="F7" s="7">
        <v>44044</v>
      </c>
      <c r="G7" s="23">
        <v>4.5</v>
      </c>
      <c r="H7" s="4">
        <v>-2.1700000000000001E-2</v>
      </c>
      <c r="I7" s="6">
        <f t="shared" si="1"/>
        <v>-2.1739130434782483E-2</v>
      </c>
    </row>
    <row r="8" spans="1:9">
      <c r="A8" s="7">
        <v>44013</v>
      </c>
      <c r="B8" s="23">
        <v>37019.68</v>
      </c>
      <c r="C8" s="4">
        <v>-1.8499999999999999E-2</v>
      </c>
      <c r="D8" s="6">
        <f t="shared" si="0"/>
        <v>-1.8473381494483968E-2</v>
      </c>
      <c r="F8" s="7">
        <v>44013</v>
      </c>
      <c r="G8" s="23">
        <v>4.5999999999999996</v>
      </c>
      <c r="H8" s="4">
        <v>-3.1600000000000003E-2</v>
      </c>
      <c r="I8" s="6">
        <f t="shared" si="1"/>
        <v>-3.1578947368421151E-2</v>
      </c>
    </row>
    <row r="9" spans="1:9">
      <c r="A9" s="7">
        <v>43983</v>
      </c>
      <c r="B9" s="23">
        <v>37716.43</v>
      </c>
      <c r="C9" s="4">
        <v>4.41E-2</v>
      </c>
      <c r="D9" s="6">
        <f t="shared" si="0"/>
        <v>4.4119035299934335E-2</v>
      </c>
      <c r="F9" s="7">
        <v>43983</v>
      </c>
      <c r="G9" s="23">
        <v>4.75</v>
      </c>
      <c r="H9" s="4">
        <v>-0.05</v>
      </c>
      <c r="I9" s="6">
        <f t="shared" si="1"/>
        <v>-5.0000000000000044E-2</v>
      </c>
    </row>
    <row r="10" spans="1:9">
      <c r="A10" s="7">
        <v>43952</v>
      </c>
      <c r="B10" s="23">
        <v>36122.730000000003</v>
      </c>
      <c r="C10" s="4">
        <v>-2.0299999999999999E-2</v>
      </c>
      <c r="D10" s="6">
        <f t="shared" si="0"/>
        <v>-2.0270088844372047E-2</v>
      </c>
      <c r="F10" s="7">
        <v>43952</v>
      </c>
      <c r="G10" s="23">
        <v>5</v>
      </c>
      <c r="H10" s="4">
        <v>-5.2999999999999999E-2</v>
      </c>
      <c r="I10" s="6">
        <f t="shared" si="1"/>
        <v>-5.3030303030303094E-2</v>
      </c>
    </row>
    <row r="11" spans="1:9">
      <c r="A11" s="7">
        <v>43922</v>
      </c>
      <c r="B11" s="23">
        <v>36870.089999999997</v>
      </c>
      <c r="C11" s="4">
        <v>6.7000000000000004E-2</v>
      </c>
      <c r="D11" s="6">
        <f t="shared" si="0"/>
        <v>6.7011763725334933E-2</v>
      </c>
      <c r="F11" s="7">
        <v>43922</v>
      </c>
      <c r="G11" s="23">
        <v>5.28</v>
      </c>
      <c r="H11" s="4">
        <v>-0.16320000000000001</v>
      </c>
      <c r="I11" s="6">
        <f t="shared" si="1"/>
        <v>-0.16323296354992067</v>
      </c>
    </row>
    <row r="12" spans="1:9">
      <c r="A12" s="7">
        <v>43891</v>
      </c>
      <c r="B12" s="23">
        <v>34554.53</v>
      </c>
      <c r="C12" s="4">
        <v>-0.1638</v>
      </c>
      <c r="D12" s="6">
        <f t="shared" si="0"/>
        <v>-0.16382076312949931</v>
      </c>
      <c r="F12" s="7">
        <v>43891</v>
      </c>
      <c r="G12" s="23">
        <v>6.31</v>
      </c>
      <c r="H12" s="4">
        <v>-5.96E-2</v>
      </c>
      <c r="I12" s="6">
        <f t="shared" si="1"/>
        <v>-5.9612518628912148E-2</v>
      </c>
    </row>
    <row r="13" spans="1:9">
      <c r="A13" s="7">
        <v>43862</v>
      </c>
      <c r="B13" s="23">
        <v>41324.31</v>
      </c>
      <c r="C13" s="4">
        <v>-6.3100000000000003E-2</v>
      </c>
      <c r="D13" s="6">
        <f t="shared" si="0"/>
        <v>-6.3117358157680492E-2</v>
      </c>
      <c r="F13" s="7">
        <v>43862</v>
      </c>
      <c r="G13" s="23">
        <v>6.71</v>
      </c>
      <c r="H13" s="4">
        <v>-2.75E-2</v>
      </c>
      <c r="I13" s="6">
        <f t="shared" si="1"/>
        <v>-2.7536231884058071E-2</v>
      </c>
    </row>
    <row r="14" spans="1:9">
      <c r="A14" s="7">
        <v>43831</v>
      </c>
      <c r="B14" s="23">
        <v>44108.31</v>
      </c>
      <c r="C14" s="4">
        <v>1.2999999999999999E-2</v>
      </c>
      <c r="D14" s="6">
        <f t="shared" si="0"/>
        <v>1.3028863356898871E-2</v>
      </c>
      <c r="F14" s="7">
        <v>43831</v>
      </c>
      <c r="G14" s="23">
        <v>6.9</v>
      </c>
      <c r="H14" s="4">
        <v>-3.7699999999999997E-2</v>
      </c>
      <c r="I14" s="6">
        <f t="shared" si="1"/>
        <v>-3.7656903765690308E-2</v>
      </c>
    </row>
    <row r="15" spans="1:9">
      <c r="A15" s="7">
        <v>43800</v>
      </c>
      <c r="B15" s="23">
        <v>43541.02</v>
      </c>
      <c r="C15" s="4">
        <v>1.6799999999999999E-2</v>
      </c>
      <c r="D15" s="6">
        <f t="shared" si="0"/>
        <v>1.6834118866384879E-2</v>
      </c>
      <c r="F15" s="7">
        <v>43800</v>
      </c>
      <c r="G15" s="23">
        <v>7.17</v>
      </c>
      <c r="H15" s="4">
        <v>0</v>
      </c>
      <c r="I15" s="6">
        <f t="shared" si="1"/>
        <v>0</v>
      </c>
    </row>
    <row r="16" spans="1:9" ht="15.75" thickBot="1">
      <c r="A16" s="8">
        <v>43770</v>
      </c>
      <c r="B16" s="9">
        <v>42820.18</v>
      </c>
      <c r="C16" s="10">
        <v>-1.1900000000000001E-2</v>
      </c>
      <c r="D16" s="11">
        <f>(B16-B21)/B21</f>
        <v>-1.1931990194123825E-2</v>
      </c>
      <c r="F16" s="8">
        <v>43770</v>
      </c>
      <c r="G16" s="9">
        <v>7.17</v>
      </c>
      <c r="H16" s="10">
        <v>1.7000000000000001E-2</v>
      </c>
      <c r="I16" s="11">
        <f>G16/G21-1</f>
        <v>1.7021276595744705E-2</v>
      </c>
    </row>
    <row r="17" spans="1:9" ht="15.75" thickBot="1">
      <c r="A17" s="1"/>
      <c r="C17" s="15" t="s">
        <v>6</v>
      </c>
      <c r="D17" s="5">
        <f>((1+AVERAGE(D5:D16))^12)-1</f>
        <v>-0.12893626360615051</v>
      </c>
      <c r="F17" s="1"/>
      <c r="H17" s="15" t="s">
        <v>6</v>
      </c>
      <c r="I17" s="5">
        <f>(1+AVERAGE(I5:I16))^12-1</f>
        <v>-0.353394077097549</v>
      </c>
    </row>
    <row r="18" spans="1:9" ht="15.75" thickBot="1">
      <c r="A18" s="42"/>
      <c r="B18" s="43"/>
      <c r="C18" s="44"/>
      <c r="D18" s="38"/>
      <c r="F18" s="1"/>
      <c r="H18" s="2"/>
      <c r="I18" s="21"/>
    </row>
    <row r="19" spans="1:9">
      <c r="A19" s="103" t="s">
        <v>5</v>
      </c>
      <c r="B19" s="104"/>
      <c r="C19" s="104"/>
      <c r="D19" s="105"/>
      <c r="F19" s="94" t="s">
        <v>5</v>
      </c>
      <c r="G19" s="95"/>
      <c r="H19" s="95"/>
      <c r="I19" s="96"/>
    </row>
    <row r="20" spans="1:9">
      <c r="A20" s="12" t="s">
        <v>0</v>
      </c>
      <c r="B20" s="13" t="s">
        <v>1</v>
      </c>
      <c r="C20" s="13" t="s">
        <v>2</v>
      </c>
      <c r="D20" s="14" t="s">
        <v>3</v>
      </c>
      <c r="F20" s="12" t="s">
        <v>0</v>
      </c>
      <c r="G20" s="13" t="s">
        <v>1</v>
      </c>
      <c r="H20" s="13" t="s">
        <v>2</v>
      </c>
      <c r="I20" s="14" t="s">
        <v>34</v>
      </c>
    </row>
    <row r="21" spans="1:9">
      <c r="A21" s="7">
        <v>43739</v>
      </c>
      <c r="B21" s="23">
        <v>43337.279999999999</v>
      </c>
      <c r="C21" s="4">
        <v>7.6E-3</v>
      </c>
      <c r="D21" s="6">
        <f>(B21-B22)/B22</f>
        <v>7.5796413358638808E-3</v>
      </c>
      <c r="F21" s="7">
        <v>43739</v>
      </c>
      <c r="G21" s="23">
        <v>7.05</v>
      </c>
      <c r="H21" s="4">
        <v>-1.26E-2</v>
      </c>
      <c r="I21" s="6">
        <f>G21/G22-1</f>
        <v>-1.2605042016806678E-2</v>
      </c>
    </row>
    <row r="22" spans="1:9">
      <c r="A22" s="7">
        <v>43709</v>
      </c>
      <c r="B22" s="23">
        <v>43011.27</v>
      </c>
      <c r="C22" s="4">
        <v>9.1000000000000004E-3</v>
      </c>
      <c r="D22" s="6">
        <f t="shared" ref="D22:D31" si="2">(B22-B23)/B23</f>
        <v>9.1212387823332002E-3</v>
      </c>
      <c r="F22" s="7">
        <v>43709</v>
      </c>
      <c r="G22" s="23">
        <v>7.14</v>
      </c>
      <c r="H22" s="4">
        <v>-3.5099999999999999E-2</v>
      </c>
      <c r="I22" s="6">
        <f t="shared" ref="I22:I31" si="3">G22/G23-1</f>
        <v>-3.513513513513522E-2</v>
      </c>
    </row>
    <row r="23" spans="1:9">
      <c r="A23" s="7">
        <v>43678</v>
      </c>
      <c r="B23" s="23">
        <v>42622.5</v>
      </c>
      <c r="C23" s="4">
        <v>4.3099999999999999E-2</v>
      </c>
      <c r="D23" s="6">
        <f t="shared" si="2"/>
        <v>4.3056215278874009E-2</v>
      </c>
      <c r="F23" s="7">
        <v>43678</v>
      </c>
      <c r="G23" s="23">
        <v>7.4</v>
      </c>
      <c r="H23" s="4">
        <v>-6.3299999999999995E-2</v>
      </c>
      <c r="I23" s="6">
        <f t="shared" si="3"/>
        <v>-6.3291139240506333E-2</v>
      </c>
    </row>
    <row r="24" spans="1:9">
      <c r="A24" s="7">
        <v>43647</v>
      </c>
      <c r="B24" s="23">
        <v>40863.089999999997</v>
      </c>
      <c r="C24" s="4">
        <v>-5.3199999999999997E-2</v>
      </c>
      <c r="D24" s="6">
        <f t="shared" si="2"/>
        <v>-5.3244154410086703E-2</v>
      </c>
      <c r="F24" s="7">
        <v>43647</v>
      </c>
      <c r="G24" s="23">
        <v>7.9</v>
      </c>
      <c r="H24" s="4">
        <v>-2.35E-2</v>
      </c>
      <c r="I24" s="6">
        <f t="shared" si="3"/>
        <v>-2.3485784919653807E-2</v>
      </c>
    </row>
    <row r="25" spans="1:9">
      <c r="A25" s="7">
        <v>43617</v>
      </c>
      <c r="B25" s="23">
        <v>43161.17</v>
      </c>
      <c r="C25" s="4">
        <v>9.5999999999999992E-3</v>
      </c>
      <c r="D25" s="6">
        <f t="shared" si="2"/>
        <v>9.6378501940153852E-3</v>
      </c>
      <c r="F25" s="7">
        <v>43617</v>
      </c>
      <c r="G25" s="23">
        <v>8.09</v>
      </c>
      <c r="H25" s="4">
        <v>-2.41E-2</v>
      </c>
      <c r="I25" s="6">
        <f t="shared" si="3"/>
        <v>-2.4125452352231513E-2</v>
      </c>
    </row>
    <row r="26" spans="1:9">
      <c r="A26" s="7">
        <v>43586</v>
      </c>
      <c r="B26" s="23">
        <v>42749.16</v>
      </c>
      <c r="C26" s="4">
        <v>-4.1399999999999999E-2</v>
      </c>
      <c r="D26" s="6">
        <f t="shared" si="2"/>
        <v>-4.1441055202420148E-2</v>
      </c>
      <c r="F26" s="7">
        <v>43586</v>
      </c>
      <c r="G26" s="23">
        <v>8.2899999999999991</v>
      </c>
      <c r="H26" s="4">
        <v>1.2200000000000001E-2</v>
      </c>
      <c r="I26" s="6">
        <f t="shared" si="3"/>
        <v>1.2210012210012167E-2</v>
      </c>
    </row>
    <row r="27" spans="1:9">
      <c r="A27" s="7">
        <v>43556</v>
      </c>
      <c r="B27" s="23">
        <v>44597.32</v>
      </c>
      <c r="C27" s="4">
        <v>3.04E-2</v>
      </c>
      <c r="D27" s="6">
        <f t="shared" si="2"/>
        <v>3.0406679284901022E-2</v>
      </c>
      <c r="F27" s="7">
        <v>43556</v>
      </c>
      <c r="G27" s="23">
        <v>8.19</v>
      </c>
      <c r="H27" s="4">
        <v>6.1000000000000004E-3</v>
      </c>
      <c r="I27" s="6">
        <f t="shared" si="3"/>
        <v>6.142506142505999E-3</v>
      </c>
    </row>
    <row r="28" spans="1:9">
      <c r="A28" s="7">
        <v>43525</v>
      </c>
      <c r="B28" s="23">
        <v>43281.279999999999</v>
      </c>
      <c r="C28" s="4">
        <v>1.0699999999999999E-2</v>
      </c>
      <c r="D28" s="6">
        <f t="shared" si="2"/>
        <v>1.068260857686416E-2</v>
      </c>
      <c r="F28" s="7">
        <v>43525</v>
      </c>
      <c r="G28" s="23">
        <v>8.14</v>
      </c>
      <c r="H28" s="4">
        <v>-3.7000000000000002E-3</v>
      </c>
      <c r="I28" s="6">
        <f t="shared" si="3"/>
        <v>-3.6719706242349659E-3</v>
      </c>
    </row>
    <row r="29" spans="1:9">
      <c r="A29" s="7">
        <v>43497</v>
      </c>
      <c r="B29" s="23">
        <v>42823.81</v>
      </c>
      <c r="C29" s="4">
        <v>-2.6499999999999999E-2</v>
      </c>
      <c r="D29" s="6">
        <f t="shared" si="2"/>
        <v>-2.6464753748413873E-2</v>
      </c>
      <c r="F29" s="7">
        <v>43497</v>
      </c>
      <c r="G29" s="23">
        <v>8.17</v>
      </c>
      <c r="H29" s="4">
        <v>-2.0400000000000001E-2</v>
      </c>
      <c r="I29" s="6">
        <f t="shared" si="3"/>
        <v>-2.0383693045563533E-2</v>
      </c>
    </row>
    <row r="30" spans="1:9">
      <c r="A30" s="7">
        <v>43466</v>
      </c>
      <c r="B30" s="23">
        <v>43987.94</v>
      </c>
      <c r="C30" s="4">
        <v>5.6399999999999999E-2</v>
      </c>
      <c r="D30" s="6">
        <f t="shared" si="2"/>
        <v>5.6379797729457705E-2</v>
      </c>
      <c r="F30" s="7">
        <v>43466</v>
      </c>
      <c r="G30" s="23">
        <v>8.34</v>
      </c>
      <c r="H30" s="4">
        <v>-3.1399999999999997E-2</v>
      </c>
      <c r="I30" s="6">
        <f t="shared" si="3"/>
        <v>-3.1358885017421567E-2</v>
      </c>
    </row>
    <row r="31" spans="1:9">
      <c r="A31" s="7">
        <v>43435</v>
      </c>
      <c r="B31" s="23">
        <v>41640.269999999997</v>
      </c>
      <c r="C31" s="4">
        <v>-2.2000000000000001E-3</v>
      </c>
      <c r="D31" s="6">
        <f t="shared" si="2"/>
        <v>-2.2167226817864046E-3</v>
      </c>
      <c r="F31" s="7">
        <v>43435</v>
      </c>
      <c r="G31" s="23">
        <v>8.61</v>
      </c>
      <c r="H31" s="4">
        <v>1.06E-2</v>
      </c>
      <c r="I31" s="6">
        <f t="shared" si="3"/>
        <v>1.0563380281690016E-2</v>
      </c>
    </row>
    <row r="32" spans="1:9" ht="15.75" thickBot="1">
      <c r="A32" s="8">
        <v>43405</v>
      </c>
      <c r="B32" s="9">
        <v>41732.78</v>
      </c>
      <c r="C32" s="10">
        <v>-5.0299999999999997E-2</v>
      </c>
      <c r="D32" s="11">
        <v>-5.0299999999999997E-2</v>
      </c>
      <c r="F32" s="8">
        <v>43405</v>
      </c>
      <c r="G32" s="9">
        <v>8.52</v>
      </c>
      <c r="H32" s="10">
        <v>2.3999999999999998E-3</v>
      </c>
      <c r="I32" s="11">
        <f>H32*100</f>
        <v>0.24</v>
      </c>
    </row>
    <row r="33" spans="1:9" ht="15.75" thickBot="1">
      <c r="A33" s="1"/>
      <c r="C33" s="15" t="s">
        <v>6</v>
      </c>
      <c r="D33" s="5">
        <f>((1+AVERAGE(D21:D32))^12)-1</f>
        <v>-6.7814850028876661E-3</v>
      </c>
      <c r="F33" s="1"/>
      <c r="H33" s="15" t="s">
        <v>6</v>
      </c>
      <c r="I33" s="5">
        <f>(1+AVERAGE(I21:I32))^12-1</f>
        <v>5.6259381804979913E-2</v>
      </c>
    </row>
    <row r="34" spans="1:9" ht="15.75" thickBot="1">
      <c r="A34" s="49"/>
      <c r="B34" s="49"/>
      <c r="C34" s="49"/>
      <c r="D34" s="49"/>
      <c r="E34" s="37"/>
    </row>
    <row r="35" spans="1:9" ht="15.75" thickBot="1">
      <c r="A35" s="34" t="s">
        <v>7</v>
      </c>
      <c r="B35" s="35"/>
      <c r="C35" s="35"/>
      <c r="D35" s="36">
        <f>AVERAGE(D33,D17)</f>
        <v>-6.785887430451909E-2</v>
      </c>
      <c r="E35" s="38"/>
      <c r="F35" s="34" t="s">
        <v>7</v>
      </c>
      <c r="G35" s="35"/>
      <c r="H35" s="35"/>
      <c r="I35" s="36">
        <f>AVERAGE(I33,I17)</f>
        <v>-0.14856734764628454</v>
      </c>
    </row>
    <row r="36" spans="1:9">
      <c r="A36" s="38"/>
      <c r="B36" s="38"/>
      <c r="C36" s="38"/>
      <c r="D36" s="38"/>
      <c r="E36" s="38"/>
    </row>
    <row r="37" spans="1:9">
      <c r="A37" s="39"/>
      <c r="B37" s="40"/>
      <c r="C37" s="41"/>
      <c r="D37" s="38"/>
      <c r="E37" s="38"/>
    </row>
    <row r="38" spans="1:9">
      <c r="A38" s="42"/>
      <c r="B38" s="43"/>
      <c r="C38" s="44"/>
      <c r="D38" s="38"/>
      <c r="E38" s="38"/>
    </row>
    <row r="39" spans="1:9">
      <c r="A39" s="42"/>
      <c r="B39" s="43"/>
      <c r="C39" s="44"/>
      <c r="D39" s="38"/>
      <c r="E39" s="38"/>
    </row>
    <row r="40" spans="1:9">
      <c r="A40" s="42"/>
      <c r="B40" s="43"/>
      <c r="C40" s="44"/>
      <c r="D40" s="38"/>
      <c r="E40" s="38"/>
    </row>
    <row r="41" spans="1:9">
      <c r="A41" s="42"/>
      <c r="B41" s="40"/>
      <c r="C41" s="41"/>
      <c r="D41" s="38"/>
      <c r="E41" s="38"/>
    </row>
    <row r="42" spans="1:9">
      <c r="A42" s="42"/>
      <c r="B42" s="43"/>
      <c r="C42" s="44"/>
      <c r="D42" s="38"/>
      <c r="E42" s="38"/>
    </row>
    <row r="43" spans="1:9">
      <c r="A43" s="42"/>
      <c r="B43" s="40"/>
      <c r="C43" s="41"/>
      <c r="D43" s="38"/>
      <c r="E43" s="38"/>
    </row>
    <row r="44" spans="1:9">
      <c r="A44" s="42"/>
      <c r="B44" s="40"/>
      <c r="C44" s="41"/>
      <c r="D44" s="38"/>
      <c r="E44" s="38"/>
    </row>
    <row r="45" spans="1:9">
      <c r="A45" s="42"/>
      <c r="B45" s="40"/>
      <c r="C45" s="41"/>
      <c r="D45" s="38"/>
      <c r="E45" s="38"/>
    </row>
    <row r="46" spans="1:9">
      <c r="A46" s="42"/>
      <c r="B46" s="40"/>
      <c r="C46" s="41"/>
      <c r="D46" s="38"/>
      <c r="E46" s="38"/>
    </row>
    <row r="47" spans="1:9">
      <c r="A47" s="42"/>
      <c r="B47" s="43"/>
      <c r="C47" s="44"/>
      <c r="D47" s="38"/>
      <c r="E47" s="38"/>
    </row>
    <row r="48" spans="1:9">
      <c r="A48" s="42"/>
      <c r="B48" s="43"/>
      <c r="C48" s="44"/>
      <c r="D48" s="38"/>
      <c r="E48" s="38"/>
    </row>
    <row r="49" spans="1:5">
      <c r="A49" s="42"/>
      <c r="B49" s="43"/>
      <c r="C49" s="45"/>
      <c r="D49" s="38"/>
      <c r="E49" s="38"/>
    </row>
    <row r="50" spans="1:5">
      <c r="A50" s="42"/>
      <c r="B50" s="43"/>
      <c r="C50" s="44"/>
      <c r="D50" s="38"/>
      <c r="E50" s="38"/>
    </row>
    <row r="51" spans="1:5">
      <c r="A51" s="97"/>
      <c r="B51" s="97"/>
      <c r="C51" s="97"/>
      <c r="D51" s="97"/>
      <c r="E51" s="38"/>
    </row>
    <row r="52" spans="1:5">
      <c r="A52" s="38"/>
      <c r="B52" s="38"/>
      <c r="C52" s="38"/>
      <c r="D52" s="38"/>
      <c r="E52" s="38"/>
    </row>
    <row r="53" spans="1:5">
      <c r="A53" s="42"/>
      <c r="B53" s="43"/>
      <c r="C53" s="44"/>
      <c r="D53" s="38"/>
      <c r="E53" s="38"/>
    </row>
    <row r="54" spans="1:5">
      <c r="A54" s="42"/>
      <c r="B54" s="43"/>
      <c r="C54" s="44"/>
      <c r="D54" s="38"/>
      <c r="E54" s="38"/>
    </row>
    <row r="55" spans="1:5">
      <c r="A55" s="42"/>
      <c r="B55" s="40"/>
      <c r="C55" s="41"/>
      <c r="D55" s="38"/>
      <c r="E55" s="38"/>
    </row>
    <row r="56" spans="1:5">
      <c r="A56" s="42"/>
      <c r="B56" s="43"/>
      <c r="C56" s="44"/>
      <c r="D56" s="38"/>
      <c r="E56" s="38"/>
    </row>
    <row r="57" spans="1:5">
      <c r="A57" s="42"/>
      <c r="B57" s="40"/>
      <c r="C57" s="41"/>
      <c r="D57" s="38"/>
      <c r="E57" s="38"/>
    </row>
    <row r="58" spans="1:5">
      <c r="A58" s="42"/>
      <c r="B58" s="40"/>
      <c r="C58" s="41"/>
      <c r="D58" s="38"/>
      <c r="E58" s="38"/>
    </row>
    <row r="59" spans="1:5">
      <c r="A59" s="42"/>
      <c r="B59" s="40"/>
      <c r="C59" s="41"/>
      <c r="D59" s="38"/>
      <c r="E59" s="38"/>
    </row>
    <row r="60" spans="1:5">
      <c r="A60" s="42"/>
      <c r="B60" s="40"/>
      <c r="C60" s="41"/>
      <c r="D60" s="38"/>
      <c r="E60" s="38"/>
    </row>
    <row r="61" spans="1:5">
      <c r="A61" s="42"/>
      <c r="B61" s="40"/>
      <c r="C61" s="41"/>
      <c r="D61" s="38"/>
      <c r="E61" s="38"/>
    </row>
    <row r="62" spans="1:5">
      <c r="A62" s="42"/>
      <c r="B62" s="40"/>
      <c r="C62" s="41"/>
      <c r="D62" s="38"/>
      <c r="E62" s="38"/>
    </row>
    <row r="63" spans="1:5">
      <c r="A63" s="42"/>
      <c r="B63" s="40"/>
      <c r="C63" s="41"/>
      <c r="D63" s="38"/>
      <c r="E63" s="38"/>
    </row>
    <row r="64" spans="1:5">
      <c r="A64" s="42"/>
      <c r="B64" s="40"/>
      <c r="C64" s="41"/>
      <c r="D64" s="38"/>
      <c r="E64" s="38"/>
    </row>
    <row r="65" spans="1:5">
      <c r="A65" s="42"/>
      <c r="B65" s="43"/>
      <c r="C65" s="45"/>
      <c r="D65" s="38"/>
      <c r="E65" s="38"/>
    </row>
    <row r="66" spans="1:5">
      <c r="A66" s="97"/>
      <c r="B66" s="97"/>
      <c r="C66" s="97"/>
      <c r="D66" s="97"/>
      <c r="E66" s="38"/>
    </row>
    <row r="67" spans="1:5">
      <c r="A67" s="38"/>
      <c r="B67" s="38"/>
      <c r="C67" s="38"/>
      <c r="D67" s="38"/>
      <c r="E67" s="38"/>
    </row>
    <row r="68" spans="1:5">
      <c r="A68" s="42"/>
      <c r="B68" s="46"/>
      <c r="C68" s="41"/>
      <c r="D68" s="38"/>
      <c r="E68" s="38"/>
    </row>
    <row r="69" spans="1:5">
      <c r="A69" s="42"/>
      <c r="B69" s="46"/>
      <c r="C69" s="41"/>
      <c r="D69" s="38"/>
      <c r="E69" s="38"/>
    </row>
    <row r="70" spans="1:5">
      <c r="A70" s="42"/>
      <c r="B70" s="47"/>
      <c r="C70" s="44"/>
      <c r="D70" s="38"/>
      <c r="E70" s="38"/>
    </row>
    <row r="71" spans="1:5">
      <c r="A71" s="42"/>
      <c r="B71" s="47"/>
      <c r="C71" s="44"/>
      <c r="D71" s="38"/>
      <c r="E71" s="38"/>
    </row>
    <row r="72" spans="1:5">
      <c r="A72" s="42"/>
      <c r="B72" s="46"/>
      <c r="C72" s="41"/>
      <c r="D72" s="38"/>
      <c r="E72" s="38"/>
    </row>
    <row r="73" spans="1:5">
      <c r="A73" s="42"/>
      <c r="B73" s="46"/>
      <c r="C73" s="41"/>
      <c r="D73" s="38"/>
      <c r="E73" s="38"/>
    </row>
    <row r="74" spans="1:5">
      <c r="A74" s="42"/>
      <c r="B74" s="47"/>
      <c r="C74" s="44"/>
      <c r="D74" s="38"/>
      <c r="E74" s="38"/>
    </row>
    <row r="75" spans="1:5">
      <c r="A75" s="42"/>
      <c r="B75" s="47"/>
      <c r="C75" s="44"/>
      <c r="D75" s="38"/>
      <c r="E75" s="38"/>
    </row>
    <row r="76" spans="1:5">
      <c r="A76" s="42"/>
      <c r="B76" s="46"/>
      <c r="C76" s="41"/>
      <c r="D76" s="38"/>
      <c r="E76" s="38"/>
    </row>
    <row r="77" spans="1:5">
      <c r="A77" s="42"/>
      <c r="B77" s="47"/>
      <c r="C77" s="44"/>
      <c r="D77" s="38"/>
      <c r="E77" s="38"/>
    </row>
    <row r="78" spans="1:5">
      <c r="A78" s="42"/>
      <c r="B78" s="47"/>
      <c r="C78" s="44"/>
      <c r="D78" s="38"/>
      <c r="E78" s="38"/>
    </row>
    <row r="79" spans="1:5">
      <c r="A79" s="42"/>
      <c r="B79" s="46"/>
      <c r="C79" s="41"/>
      <c r="D79" s="38"/>
      <c r="E79" s="38"/>
    </row>
    <row r="80" spans="1:5">
      <c r="A80" s="42"/>
      <c r="B80" s="43"/>
      <c r="C80" s="45"/>
      <c r="D80" s="38"/>
      <c r="E80" s="38"/>
    </row>
    <row r="81" spans="1:5">
      <c r="A81" s="48"/>
      <c r="B81" s="48"/>
      <c r="C81" s="48"/>
      <c r="D81" s="48"/>
      <c r="E81" s="48"/>
    </row>
  </sheetData>
  <mergeCells count="8">
    <mergeCell ref="F1:I2"/>
    <mergeCell ref="F3:I3"/>
    <mergeCell ref="F19:I19"/>
    <mergeCell ref="A66:D66"/>
    <mergeCell ref="A1:D2"/>
    <mergeCell ref="A3:D3"/>
    <mergeCell ref="A51:D51"/>
    <mergeCell ref="A19:D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304B-00FA-4FF0-8EDF-3DFF5D3889D0}">
  <sheetPr codeName="Hoja1"/>
  <dimension ref="A1:XEY113"/>
  <sheetViews>
    <sheetView topLeftCell="G38" zoomScale="66" zoomScaleNormal="100" workbookViewId="0">
      <selection activeCell="Y60" sqref="Y60"/>
    </sheetView>
  </sheetViews>
  <sheetFormatPr baseColWidth="10" defaultRowHeight="15"/>
  <sheetData>
    <row r="1" spans="1:174" s="17" customFormat="1">
      <c r="A1" s="113" t="s">
        <v>36</v>
      </c>
      <c r="B1" s="113"/>
      <c r="C1" s="113"/>
      <c r="D1" s="113"/>
      <c r="F1" s="113" t="s">
        <v>47</v>
      </c>
      <c r="G1" s="113"/>
      <c r="H1" s="113"/>
      <c r="I1" s="113"/>
      <c r="K1" s="113" t="s">
        <v>37</v>
      </c>
      <c r="L1" s="113"/>
      <c r="M1" s="113"/>
      <c r="N1" s="113"/>
      <c r="P1" s="113" t="s">
        <v>38</v>
      </c>
      <c r="Q1" s="113"/>
      <c r="R1" s="113"/>
      <c r="S1" s="113"/>
      <c r="U1" s="113" t="s">
        <v>46</v>
      </c>
      <c r="V1" s="113"/>
      <c r="W1" s="113"/>
      <c r="X1" s="113"/>
      <c r="Z1" s="113" t="s">
        <v>45</v>
      </c>
      <c r="AA1" s="113"/>
      <c r="AB1" s="113"/>
      <c r="AC1" s="113"/>
      <c r="AE1" s="120" t="s">
        <v>44</v>
      </c>
      <c r="AF1" s="120"/>
      <c r="AG1" s="120"/>
      <c r="AH1" s="120"/>
      <c r="AJ1" s="113" t="s">
        <v>43</v>
      </c>
      <c r="AK1" s="113"/>
      <c r="AL1" s="113"/>
      <c r="AM1" s="113"/>
      <c r="AO1" s="113" t="s">
        <v>42</v>
      </c>
      <c r="AP1" s="113"/>
      <c r="AQ1" s="113"/>
      <c r="AR1" s="113"/>
      <c r="AT1" s="113" t="s">
        <v>41</v>
      </c>
      <c r="AU1" s="113"/>
      <c r="AV1" s="113"/>
      <c r="AW1" s="113"/>
      <c r="AY1" s="113" t="s">
        <v>40</v>
      </c>
      <c r="AZ1" s="113"/>
      <c r="BA1" s="113"/>
      <c r="BB1" s="113"/>
      <c r="BD1" s="113" t="s">
        <v>39</v>
      </c>
      <c r="BE1" s="113"/>
      <c r="BF1" s="113"/>
      <c r="BG1" s="113"/>
      <c r="BI1" s="120" t="s">
        <v>21</v>
      </c>
      <c r="BJ1" s="120"/>
      <c r="BK1" s="120"/>
      <c r="BL1" s="120"/>
      <c r="BN1" s="113" t="s">
        <v>22</v>
      </c>
      <c r="BO1" s="113"/>
      <c r="BP1" s="113"/>
      <c r="BQ1" s="113"/>
      <c r="BS1" s="113" t="s">
        <v>23</v>
      </c>
      <c r="BT1" s="113"/>
      <c r="BU1" s="113"/>
      <c r="BV1" s="113"/>
      <c r="BX1" s="120" t="s">
        <v>24</v>
      </c>
      <c r="BY1" s="120"/>
      <c r="BZ1" s="120"/>
      <c r="CA1" s="120"/>
      <c r="CC1" s="120" t="s">
        <v>25</v>
      </c>
      <c r="CD1" s="120"/>
      <c r="CE1" s="120"/>
      <c r="CF1" s="120"/>
      <c r="CH1" s="113" t="s">
        <v>26</v>
      </c>
      <c r="CI1" s="113"/>
      <c r="CJ1" s="113"/>
      <c r="CK1" s="113"/>
      <c r="CM1" s="120" t="s">
        <v>27</v>
      </c>
      <c r="CN1" s="120"/>
      <c r="CO1" s="120"/>
      <c r="CP1" s="120"/>
      <c r="CR1" s="120" t="s">
        <v>28</v>
      </c>
      <c r="CS1" s="120"/>
      <c r="CT1" s="120"/>
      <c r="CU1" s="120"/>
      <c r="CW1" s="120" t="s">
        <v>29</v>
      </c>
      <c r="CX1" s="120"/>
      <c r="CY1" s="120"/>
      <c r="CZ1" s="120"/>
      <c r="DB1" s="120" t="s">
        <v>30</v>
      </c>
      <c r="DC1" s="120"/>
      <c r="DD1" s="120"/>
      <c r="DE1" s="120"/>
      <c r="DG1" s="113" t="s">
        <v>31</v>
      </c>
      <c r="DH1" s="113"/>
      <c r="DI1" s="113"/>
      <c r="DJ1" s="113"/>
      <c r="DL1" s="120" t="s">
        <v>32</v>
      </c>
      <c r="DM1" s="120"/>
      <c r="DN1" s="120"/>
      <c r="DO1" s="120"/>
      <c r="DQ1" s="121" t="s">
        <v>9</v>
      </c>
      <c r="DR1" s="121"/>
      <c r="DS1" s="121"/>
      <c r="DT1" s="121"/>
      <c r="DU1" s="24"/>
      <c r="DV1" s="122" t="s">
        <v>11</v>
      </c>
      <c r="DW1" s="122"/>
      <c r="DX1" s="122"/>
      <c r="DY1" s="122"/>
      <c r="DZ1" s="24"/>
      <c r="EA1" s="124" t="s">
        <v>12</v>
      </c>
      <c r="EB1" s="124"/>
      <c r="EC1" s="124"/>
      <c r="ED1" s="124"/>
      <c r="EE1" s="24"/>
      <c r="EF1" s="126" t="s">
        <v>13</v>
      </c>
      <c r="EG1" s="126"/>
      <c r="EH1" s="126"/>
      <c r="EI1" s="126"/>
      <c r="EJ1" s="24"/>
      <c r="EK1" s="126" t="s">
        <v>14</v>
      </c>
      <c r="EL1" s="126"/>
      <c r="EM1" s="126"/>
      <c r="EN1" s="126"/>
      <c r="EO1" s="24"/>
      <c r="EP1" s="126" t="s">
        <v>15</v>
      </c>
      <c r="EQ1" s="126"/>
      <c r="ER1" s="126"/>
      <c r="ES1" s="126"/>
      <c r="ET1" s="24"/>
      <c r="EU1" s="124" t="s">
        <v>16</v>
      </c>
      <c r="EV1" s="124"/>
      <c r="EW1" s="124"/>
      <c r="EX1" s="124"/>
      <c r="EY1" s="24"/>
      <c r="EZ1" s="124" t="s">
        <v>17</v>
      </c>
      <c r="FA1" s="124"/>
      <c r="FB1" s="124"/>
      <c r="FC1" s="124"/>
      <c r="FD1" s="24"/>
      <c r="FE1" s="124" t="s">
        <v>18</v>
      </c>
      <c r="FF1" s="124"/>
      <c r="FG1" s="124"/>
      <c r="FH1" s="124"/>
      <c r="FI1" s="24"/>
      <c r="FJ1" s="124" t="s">
        <v>19</v>
      </c>
      <c r="FK1" s="124"/>
      <c r="FL1" s="124"/>
      <c r="FM1" s="124"/>
      <c r="FN1" s="24"/>
      <c r="FO1" s="126" t="s">
        <v>20</v>
      </c>
      <c r="FP1" s="126"/>
      <c r="FQ1" s="126"/>
      <c r="FR1" s="126"/>
    </row>
    <row r="2" spans="1:174" s="17" customFormat="1" ht="15.75" thickBot="1">
      <c r="A2" s="99"/>
      <c r="B2" s="99"/>
      <c r="C2" s="99"/>
      <c r="D2" s="99"/>
      <c r="F2" s="113"/>
      <c r="G2" s="113"/>
      <c r="H2" s="113"/>
      <c r="I2" s="113"/>
      <c r="K2" s="113"/>
      <c r="L2" s="113"/>
      <c r="M2" s="113"/>
      <c r="N2" s="113"/>
      <c r="P2" s="113"/>
      <c r="Q2" s="113"/>
      <c r="R2" s="113"/>
      <c r="S2" s="113"/>
      <c r="U2" s="113"/>
      <c r="V2" s="113"/>
      <c r="W2" s="113"/>
      <c r="X2" s="113"/>
      <c r="Z2" s="113"/>
      <c r="AA2" s="113"/>
      <c r="AB2" s="113"/>
      <c r="AC2" s="113"/>
      <c r="AE2" s="120"/>
      <c r="AF2" s="120"/>
      <c r="AG2" s="120"/>
      <c r="AH2" s="120"/>
      <c r="AJ2" s="113"/>
      <c r="AK2" s="113"/>
      <c r="AL2" s="113"/>
      <c r="AM2" s="113"/>
      <c r="AO2" s="113"/>
      <c r="AP2" s="113"/>
      <c r="AQ2" s="113"/>
      <c r="AR2" s="113"/>
      <c r="AT2" s="113"/>
      <c r="AU2" s="113"/>
      <c r="AV2" s="113"/>
      <c r="AW2" s="113"/>
      <c r="AY2" s="113"/>
      <c r="AZ2" s="113"/>
      <c r="BA2" s="113"/>
      <c r="BB2" s="113"/>
      <c r="BD2" s="113"/>
      <c r="BE2" s="113"/>
      <c r="BF2" s="113"/>
      <c r="BG2" s="113"/>
      <c r="BI2" s="120"/>
      <c r="BJ2" s="120"/>
      <c r="BK2" s="120"/>
      <c r="BL2" s="120"/>
      <c r="BN2" s="113"/>
      <c r="BO2" s="113"/>
      <c r="BP2" s="113"/>
      <c r="BQ2" s="113"/>
      <c r="BS2" s="113"/>
      <c r="BT2" s="113"/>
      <c r="BU2" s="113"/>
      <c r="BV2" s="113"/>
      <c r="BX2" s="120"/>
      <c r="BY2" s="120"/>
      <c r="BZ2" s="120"/>
      <c r="CA2" s="120"/>
      <c r="CC2" s="120"/>
      <c r="CD2" s="120"/>
      <c r="CE2" s="120"/>
      <c r="CF2" s="120"/>
      <c r="CH2" s="113"/>
      <c r="CI2" s="113"/>
      <c r="CJ2" s="113"/>
      <c r="CK2" s="113"/>
      <c r="CM2" s="120"/>
      <c r="CN2" s="120"/>
      <c r="CO2" s="120"/>
      <c r="CP2" s="120"/>
      <c r="CR2" s="120"/>
      <c r="CS2" s="120"/>
      <c r="CT2" s="120"/>
      <c r="CU2" s="120"/>
      <c r="CW2" s="120"/>
      <c r="CX2" s="120"/>
      <c r="CY2" s="120"/>
      <c r="CZ2" s="120"/>
      <c r="DB2" s="120"/>
      <c r="DC2" s="120"/>
      <c r="DD2" s="120"/>
      <c r="DE2" s="120"/>
      <c r="DG2" s="113"/>
      <c r="DH2" s="113"/>
      <c r="DI2" s="113"/>
      <c r="DJ2" s="113"/>
      <c r="DL2" s="120"/>
      <c r="DM2" s="120"/>
      <c r="DN2" s="120"/>
      <c r="DO2" s="120"/>
      <c r="DQ2" s="121"/>
      <c r="DR2" s="121"/>
      <c r="DS2" s="121"/>
      <c r="DT2" s="121"/>
      <c r="DU2" s="24"/>
      <c r="DV2" s="123"/>
      <c r="DW2" s="123"/>
      <c r="DX2" s="123"/>
      <c r="DY2" s="123"/>
      <c r="DZ2" s="24"/>
      <c r="EA2" s="125"/>
      <c r="EB2" s="125"/>
      <c r="EC2" s="125"/>
      <c r="ED2" s="125"/>
      <c r="EE2" s="24"/>
      <c r="EF2" s="127"/>
      <c r="EG2" s="127"/>
      <c r="EH2" s="127"/>
      <c r="EI2" s="127"/>
      <c r="EJ2" s="24"/>
      <c r="EK2" s="127"/>
      <c r="EL2" s="127"/>
      <c r="EM2" s="127"/>
      <c r="EN2" s="127"/>
      <c r="EO2" s="24"/>
      <c r="EP2" s="127"/>
      <c r="EQ2" s="127"/>
      <c r="ER2" s="127"/>
      <c r="ES2" s="127"/>
      <c r="ET2" s="24"/>
      <c r="EU2" s="125"/>
      <c r="EV2" s="125"/>
      <c r="EW2" s="125"/>
      <c r="EX2" s="125"/>
      <c r="EY2" s="24"/>
      <c r="EZ2" s="125"/>
      <c r="FA2" s="125"/>
      <c r="FB2" s="125"/>
      <c r="FC2" s="125"/>
      <c r="FD2" s="24"/>
      <c r="FE2" s="125"/>
      <c r="FF2" s="125"/>
      <c r="FG2" s="125"/>
      <c r="FH2" s="125"/>
      <c r="FI2" s="24"/>
      <c r="FJ2" s="125"/>
      <c r="FK2" s="125"/>
      <c r="FL2" s="125"/>
      <c r="FM2" s="125"/>
      <c r="FN2" s="24"/>
      <c r="FO2" s="127"/>
      <c r="FP2" s="127"/>
      <c r="FQ2" s="127"/>
      <c r="FR2" s="127"/>
    </row>
    <row r="3" spans="1:174" s="16" customFormat="1">
      <c r="A3" s="107" t="s">
        <v>4</v>
      </c>
      <c r="B3" s="108"/>
      <c r="C3" s="108"/>
      <c r="D3" s="109"/>
      <c r="E3"/>
      <c r="F3" s="114" t="s">
        <v>4</v>
      </c>
      <c r="G3" s="115"/>
      <c r="H3" s="115"/>
      <c r="I3" s="116"/>
      <c r="K3" s="114" t="s">
        <v>4</v>
      </c>
      <c r="L3" s="115"/>
      <c r="M3" s="115"/>
      <c r="N3" s="116"/>
      <c r="P3" s="117" t="s">
        <v>4</v>
      </c>
      <c r="Q3" s="118"/>
      <c r="R3" s="118"/>
      <c r="S3" s="119"/>
      <c r="T3"/>
      <c r="U3" s="114" t="s">
        <v>4</v>
      </c>
      <c r="V3" s="115"/>
      <c r="W3" s="115"/>
      <c r="X3" s="116"/>
      <c r="Z3" s="114" t="s">
        <v>4</v>
      </c>
      <c r="AA3" s="115"/>
      <c r="AB3" s="115"/>
      <c r="AC3" s="116"/>
      <c r="AE3" s="117" t="s">
        <v>4</v>
      </c>
      <c r="AF3" s="118"/>
      <c r="AG3" s="118"/>
      <c r="AH3" s="119"/>
      <c r="AI3"/>
      <c r="AJ3" s="114" t="s">
        <v>4</v>
      </c>
      <c r="AK3" s="115"/>
      <c r="AL3" s="115"/>
      <c r="AM3" s="116"/>
      <c r="AO3" s="114" t="s">
        <v>4</v>
      </c>
      <c r="AP3" s="115"/>
      <c r="AQ3" s="115"/>
      <c r="AR3" s="116"/>
      <c r="AT3" s="117" t="s">
        <v>4</v>
      </c>
      <c r="AU3" s="118"/>
      <c r="AV3" s="118"/>
      <c r="AW3" s="119"/>
      <c r="AX3"/>
      <c r="AY3" s="114" t="s">
        <v>4</v>
      </c>
      <c r="AZ3" s="115"/>
      <c r="BA3" s="115"/>
      <c r="BB3" s="116"/>
      <c r="BD3" s="114" t="s">
        <v>4</v>
      </c>
      <c r="BE3" s="115"/>
      <c r="BF3" s="115"/>
      <c r="BG3" s="116"/>
      <c r="BI3" s="107" t="s">
        <v>4</v>
      </c>
      <c r="BJ3" s="108"/>
      <c r="BK3" s="108"/>
      <c r="BL3" s="109"/>
      <c r="BM3" s="22"/>
      <c r="BN3" s="107" t="s">
        <v>4</v>
      </c>
      <c r="BO3" s="108"/>
      <c r="BP3" s="108"/>
      <c r="BQ3" s="109"/>
      <c r="BR3" s="22"/>
      <c r="BS3" s="107" t="s">
        <v>4</v>
      </c>
      <c r="BT3" s="108"/>
      <c r="BU3" s="108"/>
      <c r="BV3" s="109"/>
      <c r="BW3" s="22"/>
      <c r="BX3" s="107" t="s">
        <v>4</v>
      </c>
      <c r="BY3" s="108"/>
      <c r="BZ3" s="108"/>
      <c r="CA3" s="109"/>
      <c r="CB3" s="22"/>
      <c r="CC3" s="107" t="s">
        <v>4</v>
      </c>
      <c r="CD3" s="108"/>
      <c r="CE3" s="108"/>
      <c r="CF3" s="109"/>
      <c r="CG3" s="22"/>
      <c r="CH3" s="107" t="s">
        <v>4</v>
      </c>
      <c r="CI3" s="108"/>
      <c r="CJ3" s="108"/>
      <c r="CK3" s="109"/>
      <c r="CL3" s="22"/>
      <c r="CM3" s="107" t="s">
        <v>4</v>
      </c>
      <c r="CN3" s="108"/>
      <c r="CO3" s="108"/>
      <c r="CP3" s="109"/>
      <c r="CQ3" s="22"/>
      <c r="CR3" s="107" t="s">
        <v>4</v>
      </c>
      <c r="CS3" s="108"/>
      <c r="CT3" s="108"/>
      <c r="CU3" s="109"/>
      <c r="CV3" s="22"/>
      <c r="CW3" s="107" t="s">
        <v>4</v>
      </c>
      <c r="CX3" s="108"/>
      <c r="CY3" s="108"/>
      <c r="CZ3" s="109"/>
      <c r="DA3" s="22"/>
      <c r="DB3" s="107" t="s">
        <v>4</v>
      </c>
      <c r="DC3" s="108"/>
      <c r="DD3" s="108"/>
      <c r="DE3" s="109"/>
      <c r="DF3" s="22"/>
      <c r="DG3" s="107" t="s">
        <v>4</v>
      </c>
      <c r="DH3" s="108"/>
      <c r="DI3" s="108"/>
      <c r="DJ3" s="109"/>
      <c r="DK3" s="22"/>
      <c r="DL3" s="107" t="s">
        <v>4</v>
      </c>
      <c r="DM3" s="108"/>
      <c r="DN3" s="108"/>
      <c r="DO3" s="109"/>
      <c r="DQ3" s="107" t="s">
        <v>4</v>
      </c>
      <c r="DR3" s="108"/>
      <c r="DS3" s="108"/>
      <c r="DT3" s="109"/>
      <c r="DU3" s="24"/>
      <c r="DV3" s="107" t="s">
        <v>4</v>
      </c>
      <c r="DW3" s="108"/>
      <c r="DX3" s="108"/>
      <c r="DY3" s="109"/>
      <c r="DZ3" s="24"/>
      <c r="EA3" s="107" t="s">
        <v>4</v>
      </c>
      <c r="EB3" s="108"/>
      <c r="EC3" s="108"/>
      <c r="ED3" s="109"/>
      <c r="EE3" s="24"/>
      <c r="EF3" s="107" t="s">
        <v>4</v>
      </c>
      <c r="EG3" s="108"/>
      <c r="EH3" s="108"/>
      <c r="EI3" s="109"/>
      <c r="EJ3" s="24"/>
      <c r="EK3" s="107" t="s">
        <v>4</v>
      </c>
      <c r="EL3" s="108"/>
      <c r="EM3" s="108"/>
      <c r="EN3" s="109"/>
      <c r="EO3" s="24"/>
      <c r="EP3" s="107" t="s">
        <v>4</v>
      </c>
      <c r="EQ3" s="108"/>
      <c r="ER3" s="108"/>
      <c r="ES3" s="109"/>
      <c r="ET3" s="24"/>
      <c r="EU3" s="107" t="s">
        <v>4</v>
      </c>
      <c r="EV3" s="108"/>
      <c r="EW3" s="108"/>
      <c r="EX3" s="109"/>
      <c r="EY3" s="24"/>
      <c r="EZ3" s="107" t="s">
        <v>4</v>
      </c>
      <c r="FA3" s="108"/>
      <c r="FB3" s="108"/>
      <c r="FC3" s="109"/>
      <c r="FD3" s="24"/>
      <c r="FE3" s="107" t="s">
        <v>4</v>
      </c>
      <c r="FF3" s="108"/>
      <c r="FG3" s="108"/>
      <c r="FH3" s="109"/>
      <c r="FI3" s="24"/>
      <c r="FJ3" s="107" t="s">
        <v>4</v>
      </c>
      <c r="FK3" s="108"/>
      <c r="FL3" s="108"/>
      <c r="FM3" s="109"/>
      <c r="FN3" s="24"/>
      <c r="FO3" s="107" t="s">
        <v>4</v>
      </c>
      <c r="FP3" s="108"/>
      <c r="FQ3" s="108"/>
      <c r="FR3" s="109"/>
    </row>
    <row r="4" spans="1:174">
      <c r="A4" s="12" t="s">
        <v>0</v>
      </c>
      <c r="B4" s="13" t="s">
        <v>1</v>
      </c>
      <c r="C4" s="13" t="s">
        <v>2</v>
      </c>
      <c r="D4" s="14" t="s">
        <v>3</v>
      </c>
      <c r="F4" s="12" t="s">
        <v>0</v>
      </c>
      <c r="G4" s="13" t="s">
        <v>1</v>
      </c>
      <c r="H4" s="13" t="s">
        <v>2</v>
      </c>
      <c r="I4" s="14" t="s">
        <v>3</v>
      </c>
      <c r="K4" s="12" t="s">
        <v>0</v>
      </c>
      <c r="L4" s="13" t="s">
        <v>1</v>
      </c>
      <c r="M4" s="13" t="s">
        <v>2</v>
      </c>
      <c r="N4" s="14" t="s">
        <v>3</v>
      </c>
      <c r="P4" s="12" t="s">
        <v>0</v>
      </c>
      <c r="Q4" s="13" t="s">
        <v>1</v>
      </c>
      <c r="R4" s="13" t="s">
        <v>2</v>
      </c>
      <c r="S4" s="14" t="s">
        <v>3</v>
      </c>
      <c r="U4" s="12" t="s">
        <v>0</v>
      </c>
      <c r="V4" s="13" t="s">
        <v>1</v>
      </c>
      <c r="W4" s="13" t="s">
        <v>2</v>
      </c>
      <c r="X4" s="14" t="s">
        <v>3</v>
      </c>
      <c r="Z4" s="12" t="s">
        <v>0</v>
      </c>
      <c r="AA4" s="13" t="s">
        <v>1</v>
      </c>
      <c r="AB4" s="13" t="s">
        <v>2</v>
      </c>
      <c r="AC4" s="14" t="s">
        <v>3</v>
      </c>
      <c r="AE4" s="12" t="s">
        <v>0</v>
      </c>
      <c r="AF4" s="13" t="s">
        <v>1</v>
      </c>
      <c r="AG4" s="13" t="s">
        <v>2</v>
      </c>
      <c r="AH4" s="14" t="s">
        <v>3</v>
      </c>
      <c r="AJ4" s="12" t="s">
        <v>0</v>
      </c>
      <c r="AK4" s="13" t="s">
        <v>1</v>
      </c>
      <c r="AL4" s="13" t="s">
        <v>2</v>
      </c>
      <c r="AM4" s="14" t="s">
        <v>3</v>
      </c>
      <c r="AO4" s="12" t="s">
        <v>0</v>
      </c>
      <c r="AP4" s="13" t="s">
        <v>1</v>
      </c>
      <c r="AQ4" s="13" t="s">
        <v>2</v>
      </c>
      <c r="AR4" s="14" t="s">
        <v>3</v>
      </c>
      <c r="AT4" s="12" t="s">
        <v>0</v>
      </c>
      <c r="AU4" s="13" t="s">
        <v>1</v>
      </c>
      <c r="AV4" s="13" t="s">
        <v>2</v>
      </c>
      <c r="AW4" s="14" t="s">
        <v>3</v>
      </c>
      <c r="AY4" s="12" t="s">
        <v>0</v>
      </c>
      <c r="AZ4" s="13" t="s">
        <v>1</v>
      </c>
      <c r="BA4" s="13" t="s">
        <v>2</v>
      </c>
      <c r="BB4" s="14" t="s">
        <v>3</v>
      </c>
      <c r="BD4" s="12" t="s">
        <v>0</v>
      </c>
      <c r="BE4" s="13" t="s">
        <v>1</v>
      </c>
      <c r="BF4" s="13" t="s">
        <v>2</v>
      </c>
      <c r="BG4" s="14" t="s">
        <v>3</v>
      </c>
      <c r="BI4" s="12" t="s">
        <v>0</v>
      </c>
      <c r="BJ4" s="13" t="s">
        <v>1</v>
      </c>
      <c r="BK4" s="13" t="s">
        <v>2</v>
      </c>
      <c r="BL4" s="14" t="s">
        <v>3</v>
      </c>
      <c r="BM4" s="22"/>
      <c r="BN4" s="12" t="s">
        <v>0</v>
      </c>
      <c r="BO4" s="13" t="s">
        <v>1</v>
      </c>
      <c r="BP4" s="13" t="s">
        <v>2</v>
      </c>
      <c r="BQ4" s="14" t="s">
        <v>3</v>
      </c>
      <c r="BR4" s="22"/>
      <c r="BS4" s="12" t="s">
        <v>0</v>
      </c>
      <c r="BT4" s="13" t="s">
        <v>1</v>
      </c>
      <c r="BU4" s="13" t="s">
        <v>2</v>
      </c>
      <c r="BV4" s="14" t="s">
        <v>3</v>
      </c>
      <c r="BW4" s="22"/>
      <c r="BX4" s="12" t="s">
        <v>0</v>
      </c>
      <c r="BY4" s="13" t="s">
        <v>1</v>
      </c>
      <c r="BZ4" s="13" t="s">
        <v>2</v>
      </c>
      <c r="CA4" s="14" t="s">
        <v>3</v>
      </c>
      <c r="CB4" s="22"/>
      <c r="CC4" s="12" t="s">
        <v>0</v>
      </c>
      <c r="CD4" s="13" t="s">
        <v>1</v>
      </c>
      <c r="CE4" s="13" t="s">
        <v>2</v>
      </c>
      <c r="CF4" s="14" t="s">
        <v>3</v>
      </c>
      <c r="CG4" s="22"/>
      <c r="CH4" s="12" t="s">
        <v>0</v>
      </c>
      <c r="CI4" s="13" t="s">
        <v>1</v>
      </c>
      <c r="CJ4" s="13" t="s">
        <v>2</v>
      </c>
      <c r="CK4" s="14" t="s">
        <v>3</v>
      </c>
      <c r="CL4" s="22"/>
      <c r="CM4" s="12" t="s">
        <v>0</v>
      </c>
      <c r="CN4" s="13" t="s">
        <v>1</v>
      </c>
      <c r="CO4" s="13" t="s">
        <v>2</v>
      </c>
      <c r="CP4" s="14" t="s">
        <v>3</v>
      </c>
      <c r="CQ4" s="22"/>
      <c r="CR4" s="12" t="s">
        <v>0</v>
      </c>
      <c r="CS4" s="13" t="s">
        <v>1</v>
      </c>
      <c r="CT4" s="13" t="s">
        <v>2</v>
      </c>
      <c r="CU4" s="14" t="s">
        <v>3</v>
      </c>
      <c r="CV4" s="22"/>
      <c r="CW4" s="12" t="s">
        <v>0</v>
      </c>
      <c r="CX4" s="13" t="s">
        <v>1</v>
      </c>
      <c r="CY4" s="13" t="s">
        <v>2</v>
      </c>
      <c r="CZ4" s="14" t="s">
        <v>3</v>
      </c>
      <c r="DA4" s="22"/>
      <c r="DB4" s="12" t="s">
        <v>0</v>
      </c>
      <c r="DC4" s="13" t="s">
        <v>1</v>
      </c>
      <c r="DD4" s="13" t="s">
        <v>2</v>
      </c>
      <c r="DE4" s="14" t="s">
        <v>3</v>
      </c>
      <c r="DF4" s="22"/>
      <c r="DG4" s="12" t="s">
        <v>0</v>
      </c>
      <c r="DH4" s="13" t="s">
        <v>1</v>
      </c>
      <c r="DI4" s="13" t="s">
        <v>2</v>
      </c>
      <c r="DJ4" s="14" t="s">
        <v>3</v>
      </c>
      <c r="DK4" s="22"/>
      <c r="DL4" s="12" t="s">
        <v>0</v>
      </c>
      <c r="DM4" s="13" t="s">
        <v>1</v>
      </c>
      <c r="DN4" s="13" t="s">
        <v>2</v>
      </c>
      <c r="DO4" s="14" t="s">
        <v>3</v>
      </c>
      <c r="DQ4" s="12" t="s">
        <v>0</v>
      </c>
      <c r="DR4" s="13" t="s">
        <v>1</v>
      </c>
      <c r="DS4" s="13" t="s">
        <v>2</v>
      </c>
      <c r="DT4" s="14" t="s">
        <v>3</v>
      </c>
      <c r="DU4" s="24"/>
      <c r="DV4" s="12" t="s">
        <v>0</v>
      </c>
      <c r="DW4" s="13" t="s">
        <v>1</v>
      </c>
      <c r="DX4" s="13" t="s">
        <v>2</v>
      </c>
      <c r="DY4" s="14" t="s">
        <v>3</v>
      </c>
      <c r="DZ4" s="17"/>
      <c r="EA4" s="12" t="s">
        <v>0</v>
      </c>
      <c r="EB4" s="13" t="s">
        <v>1</v>
      </c>
      <c r="EC4" s="13" t="s">
        <v>2</v>
      </c>
      <c r="ED4" s="14" t="s">
        <v>3</v>
      </c>
      <c r="EE4" s="17"/>
      <c r="EF4" s="12" t="s">
        <v>0</v>
      </c>
      <c r="EG4" s="13" t="s">
        <v>1</v>
      </c>
      <c r="EH4" s="13" t="s">
        <v>2</v>
      </c>
      <c r="EI4" s="14" t="s">
        <v>3</v>
      </c>
      <c r="EJ4" s="17"/>
      <c r="EK4" s="12" t="s">
        <v>0</v>
      </c>
      <c r="EL4" s="13" t="s">
        <v>1</v>
      </c>
      <c r="EM4" s="13" t="s">
        <v>2</v>
      </c>
      <c r="EN4" s="14" t="s">
        <v>3</v>
      </c>
      <c r="EO4" s="17"/>
      <c r="EP4" s="12" t="s">
        <v>0</v>
      </c>
      <c r="EQ4" s="13" t="s">
        <v>1</v>
      </c>
      <c r="ER4" s="13" t="s">
        <v>2</v>
      </c>
      <c r="ES4" s="14" t="s">
        <v>3</v>
      </c>
      <c r="ET4" s="24"/>
      <c r="EU4" s="12" t="s">
        <v>0</v>
      </c>
      <c r="EV4" s="13" t="s">
        <v>1</v>
      </c>
      <c r="EW4" s="13" t="s">
        <v>2</v>
      </c>
      <c r="EX4" s="14" t="s">
        <v>3</v>
      </c>
      <c r="EY4" s="17"/>
      <c r="EZ4" s="12" t="s">
        <v>0</v>
      </c>
      <c r="FA4" s="13" t="s">
        <v>1</v>
      </c>
      <c r="FB4" s="13" t="s">
        <v>2</v>
      </c>
      <c r="FC4" s="14" t="s">
        <v>3</v>
      </c>
      <c r="FD4" s="17"/>
      <c r="FE4" s="12" t="s">
        <v>0</v>
      </c>
      <c r="FF4" s="13" t="s">
        <v>1</v>
      </c>
      <c r="FG4" s="13" t="s">
        <v>2</v>
      </c>
      <c r="FH4" s="14" t="s">
        <v>3</v>
      </c>
      <c r="FI4" s="24"/>
      <c r="FJ4" s="12" t="s">
        <v>0</v>
      </c>
      <c r="FK4" s="13" t="s">
        <v>1</v>
      </c>
      <c r="FL4" s="13" t="s">
        <v>2</v>
      </c>
      <c r="FM4" s="14" t="s">
        <v>3</v>
      </c>
      <c r="FN4" s="17"/>
      <c r="FO4" s="12" t="s">
        <v>0</v>
      </c>
      <c r="FP4" s="13" t="s">
        <v>1</v>
      </c>
      <c r="FQ4" s="13" t="s">
        <v>2</v>
      </c>
      <c r="FR4" s="14" t="s">
        <v>3</v>
      </c>
    </row>
    <row r="5" spans="1:174">
      <c r="A5" s="7">
        <v>44105</v>
      </c>
      <c r="B5" s="3">
        <v>14.17</v>
      </c>
      <c r="C5" s="4">
        <v>3.3599999999999998E-2</v>
      </c>
      <c r="D5" s="6">
        <f>(B5-B6)/B6</f>
        <v>3.3552151714077244E-2</v>
      </c>
      <c r="F5" s="7">
        <v>44105</v>
      </c>
      <c r="G5" s="3">
        <v>18.25</v>
      </c>
      <c r="H5" s="4">
        <v>-0.1343</v>
      </c>
      <c r="I5" s="6">
        <f t="shared" ref="I5:I15" si="0">(G5-G6)/G6</f>
        <v>-0.13425047438330165</v>
      </c>
      <c r="K5" s="7">
        <v>44105</v>
      </c>
      <c r="L5" s="3">
        <v>12.91</v>
      </c>
      <c r="M5" s="4">
        <v>-6.9900000000000004E-2</v>
      </c>
      <c r="N5" s="6">
        <f>(L5-L6)/L6</f>
        <v>-6.9884726224783908E-2</v>
      </c>
      <c r="P5" s="7">
        <v>44105</v>
      </c>
      <c r="Q5" s="3">
        <v>92.35</v>
      </c>
      <c r="R5" s="4">
        <v>-3.5700000000000003E-2</v>
      </c>
      <c r="S5" s="6">
        <f>(Q5-Q6)/Q6</f>
        <v>-3.5710556541714546E-2</v>
      </c>
      <c r="U5" s="7">
        <v>44105</v>
      </c>
      <c r="V5" s="3">
        <v>245.02</v>
      </c>
      <c r="W5" s="4">
        <v>-4.58E-2</v>
      </c>
      <c r="X5" s="6">
        <f>(V5-V6)/V6</f>
        <v>-4.5835118189960701E-2</v>
      </c>
      <c r="Z5" s="7">
        <v>44105</v>
      </c>
      <c r="AA5" s="3">
        <v>17.54</v>
      </c>
      <c r="AB5" s="4">
        <v>5.9200000000000003E-2</v>
      </c>
      <c r="AC5" s="6">
        <f>(AA5-AA6)/AA6</f>
        <v>5.9178743961352684E-2</v>
      </c>
      <c r="AE5" s="7">
        <v>44105</v>
      </c>
      <c r="AF5" s="3">
        <v>44.53</v>
      </c>
      <c r="AG5" s="4">
        <v>-1.3299999999999999E-2</v>
      </c>
      <c r="AH5" s="6">
        <f>(AF5-AF6)/AF6</f>
        <v>-1.3294925769997815E-2</v>
      </c>
      <c r="AJ5" s="7">
        <v>44105</v>
      </c>
      <c r="AK5" s="3">
        <v>40.99</v>
      </c>
      <c r="AL5" s="4">
        <v>-9.1999999999999998E-3</v>
      </c>
      <c r="AM5" s="6">
        <f>(AK5-AK6)/AK6</f>
        <v>-9.1854000483441011E-3</v>
      </c>
      <c r="AO5" s="7">
        <v>44105</v>
      </c>
      <c r="AP5" s="3">
        <v>43.12</v>
      </c>
      <c r="AQ5" s="4">
        <v>-0.13950000000000001</v>
      </c>
      <c r="AR5" s="6">
        <f>(AP5-AP6)/AP6</f>
        <v>-0.13949311514667734</v>
      </c>
      <c r="AT5" s="7">
        <v>44105</v>
      </c>
      <c r="AU5" s="3">
        <v>8.76</v>
      </c>
      <c r="AV5" s="4">
        <v>4.53E-2</v>
      </c>
      <c r="AW5" s="6">
        <f>(AU5-AU6)/AU6</f>
        <v>4.5346062052505846E-2</v>
      </c>
      <c r="AY5" s="7">
        <v>44105</v>
      </c>
      <c r="AZ5" s="3">
        <v>80.319999999999993</v>
      </c>
      <c r="BA5" s="4">
        <v>-0.1094</v>
      </c>
      <c r="BB5" s="6">
        <f>(AZ5-AZ6)/AZ6</f>
        <v>-0.10943563587980934</v>
      </c>
      <c r="BD5" s="7">
        <v>44105</v>
      </c>
      <c r="BE5" s="3">
        <v>34.08</v>
      </c>
      <c r="BF5" s="4">
        <v>2.2800000000000001E-2</v>
      </c>
      <c r="BG5" s="6">
        <f>(BE5-BE6)/BE6</f>
        <v>2.2809123649459723E-2</v>
      </c>
      <c r="BI5" s="7">
        <v>44105</v>
      </c>
      <c r="BJ5" s="23">
        <v>57.09</v>
      </c>
      <c r="BK5" s="4">
        <v>-9.1800000000000007E-2</v>
      </c>
      <c r="BL5" s="6">
        <f>BJ5/BJ6-1</f>
        <v>-9.1791282214444769E-2</v>
      </c>
      <c r="BM5" s="22"/>
      <c r="BN5" s="7">
        <v>44105</v>
      </c>
      <c r="BO5" s="23">
        <v>1201.83</v>
      </c>
      <c r="BP5" s="4">
        <v>2.3999999999999998E-3</v>
      </c>
      <c r="BQ5" s="6">
        <f>BO5/BO6-1</f>
        <v>2.4439069146715564E-3</v>
      </c>
      <c r="BR5" s="22"/>
      <c r="BS5" s="7">
        <v>44105</v>
      </c>
      <c r="BT5" s="23">
        <v>94.5</v>
      </c>
      <c r="BU5" s="4">
        <v>0.2334</v>
      </c>
      <c r="BV5" s="6">
        <f>BT5/BT6-1</f>
        <v>0.23335943617854338</v>
      </c>
      <c r="BW5" s="22"/>
      <c r="BX5" s="7">
        <v>44105</v>
      </c>
      <c r="BY5" s="23">
        <v>113.69</v>
      </c>
      <c r="BZ5" s="4">
        <v>-8.7599999999999997E-2</v>
      </c>
      <c r="CA5" s="6">
        <f>BY5/BY6-1</f>
        <v>-8.7560192616372379E-2</v>
      </c>
      <c r="CB5" s="22"/>
      <c r="CC5" s="7">
        <v>44105</v>
      </c>
      <c r="CD5" s="23">
        <v>18.809999999999999</v>
      </c>
      <c r="CE5" s="4">
        <v>-0.1308</v>
      </c>
      <c r="CF5" s="6">
        <f>CD5/CD6-1</f>
        <v>-0.13077634011090578</v>
      </c>
      <c r="CG5" s="22"/>
      <c r="CH5" s="7">
        <v>44105</v>
      </c>
      <c r="CI5" s="23">
        <v>4.99</v>
      </c>
      <c r="CJ5" s="4">
        <v>-0.2092</v>
      </c>
      <c r="CK5" s="6">
        <f>CI5/CI6-1</f>
        <v>-0.20919175911251975</v>
      </c>
      <c r="CL5" s="22"/>
      <c r="CM5" s="7">
        <v>44105</v>
      </c>
      <c r="CN5" s="23">
        <v>60.25</v>
      </c>
      <c r="CO5" s="4">
        <v>7.1099999999999997E-2</v>
      </c>
      <c r="CP5" s="6">
        <f>CN5/CN6-1</f>
        <v>7.1111111111111125E-2</v>
      </c>
      <c r="CQ5" s="22"/>
      <c r="CR5" s="7">
        <v>44105</v>
      </c>
      <c r="CS5" s="23">
        <v>225.61</v>
      </c>
      <c r="CT5" s="4">
        <v>-7.9299999999999995E-2</v>
      </c>
      <c r="CU5" s="6">
        <f>CS5/CS6-1</f>
        <v>-7.9330748826770048E-2</v>
      </c>
      <c r="CV5" s="22"/>
      <c r="CW5" s="7">
        <v>44105</v>
      </c>
      <c r="CX5" s="23">
        <v>176.53</v>
      </c>
      <c r="CY5" s="4">
        <v>-5.4000000000000003E-3</v>
      </c>
      <c r="CZ5" s="6">
        <f>CX5/CX6-1</f>
        <v>-5.4087554228408052E-3</v>
      </c>
      <c r="DA5" s="22"/>
      <c r="DB5" s="7">
        <v>44105</v>
      </c>
      <c r="DC5" s="23">
        <v>39.28</v>
      </c>
      <c r="DD5" s="4">
        <v>-0.13539999999999999</v>
      </c>
      <c r="DE5" s="6">
        <f>DC5/DC6-1</f>
        <v>-0.13537310147479631</v>
      </c>
      <c r="DF5" s="22"/>
      <c r="DG5" s="7">
        <v>44105</v>
      </c>
      <c r="DH5" s="23">
        <v>106.81</v>
      </c>
      <c r="DI5" s="4">
        <v>3.6700000000000003E-2</v>
      </c>
      <c r="DJ5" s="6">
        <f>DH5/DH6-1</f>
        <v>3.6688343201009443E-2</v>
      </c>
      <c r="DK5" s="22"/>
      <c r="DL5" s="7">
        <v>44105</v>
      </c>
      <c r="DM5" s="23">
        <v>15.71</v>
      </c>
      <c r="DN5" s="4">
        <v>-8.8200000000000001E-2</v>
      </c>
      <c r="DO5" s="6">
        <f>DM5/DM6-1</f>
        <v>-8.8218224027858394E-2</v>
      </c>
      <c r="DQ5" s="28" t="s">
        <v>10</v>
      </c>
      <c r="DR5" s="23">
        <v>26.83</v>
      </c>
      <c r="DS5" s="4">
        <v>-1.7899999999999999E-2</v>
      </c>
      <c r="DT5" s="6">
        <f>(DR5-DR6)/DR6</f>
        <v>-1.7935578330893192E-2</v>
      </c>
      <c r="DU5" s="24"/>
      <c r="DV5" s="7">
        <v>44105</v>
      </c>
      <c r="DW5" s="23">
        <v>70.98</v>
      </c>
      <c r="DX5" s="4">
        <v>6.5299999999999997E-2</v>
      </c>
      <c r="DY5" s="6">
        <f>(DW5-DW6)/DW6</f>
        <v>6.5285907248987071E-2</v>
      </c>
      <c r="DZ5" s="24"/>
      <c r="EA5" s="7">
        <v>44105</v>
      </c>
      <c r="EB5" s="23">
        <v>31.53</v>
      </c>
      <c r="EC5" s="4">
        <v>-0.1017</v>
      </c>
      <c r="ED5" s="6">
        <f>(EB5-EB6)/EB6</f>
        <v>-0.10170940170940171</v>
      </c>
      <c r="EE5" s="24"/>
      <c r="EF5" s="7">
        <v>44105</v>
      </c>
      <c r="EG5" s="23">
        <v>67.290000000000006</v>
      </c>
      <c r="EH5" s="4">
        <v>5.7500000000000002E-2</v>
      </c>
      <c r="EI5" s="6">
        <f>(EG5-EG6)/EG6</f>
        <v>5.7520037718057575E-2</v>
      </c>
      <c r="EJ5" s="24"/>
      <c r="EK5" s="7">
        <v>44105</v>
      </c>
      <c r="EL5" s="23">
        <v>95.72</v>
      </c>
      <c r="EM5" s="4">
        <v>-5.74E-2</v>
      </c>
      <c r="EN5" s="6">
        <f>(EL5-EL6)/EL6</f>
        <v>-5.7410142786804515E-2</v>
      </c>
      <c r="EO5" s="24"/>
      <c r="EP5" s="7">
        <v>44105</v>
      </c>
      <c r="EQ5" s="23">
        <v>37.51</v>
      </c>
      <c r="ER5" s="4">
        <v>-3.1800000000000002E-2</v>
      </c>
      <c r="ES5" s="6">
        <f>(EQ5-EQ6)/EQ6</f>
        <v>-3.1750129065565409E-2</v>
      </c>
      <c r="ET5" s="24"/>
      <c r="EU5" s="7">
        <v>44105</v>
      </c>
      <c r="EV5" s="23">
        <v>337.76</v>
      </c>
      <c r="EW5" s="4">
        <v>-5.4699999999999999E-2</v>
      </c>
      <c r="EX5" s="6">
        <f>(EV5-EV6)/EV6</f>
        <v>-5.4661479470458248E-2</v>
      </c>
      <c r="EY5" s="24"/>
      <c r="EZ5" s="7">
        <v>44105</v>
      </c>
      <c r="FA5" s="23">
        <v>138.96</v>
      </c>
      <c r="FB5" s="4">
        <v>-0.1113</v>
      </c>
      <c r="FC5" s="6">
        <f>(FA5-FA6)/FA6</f>
        <v>-0.1113384920381147</v>
      </c>
      <c r="FD5" s="24"/>
      <c r="FE5" s="7">
        <v>44105</v>
      </c>
      <c r="FF5" s="23">
        <v>84.71</v>
      </c>
      <c r="FG5" s="4">
        <v>1.5800000000000002E-2</v>
      </c>
      <c r="FH5" s="6">
        <f>(FF5-FF6)/FF6</f>
        <v>1.5829236119438699E-2</v>
      </c>
      <c r="FI5" s="24"/>
      <c r="FJ5" s="7">
        <v>44105</v>
      </c>
      <c r="FK5" s="23">
        <v>19.579999999999998</v>
      </c>
      <c r="FL5" s="4">
        <v>-1.61E-2</v>
      </c>
      <c r="FM5" s="6">
        <f>(FK5-FK6)/FK6</f>
        <v>-1.6080402010050267E-2</v>
      </c>
      <c r="FN5" s="24"/>
      <c r="FO5" s="7">
        <v>44105</v>
      </c>
      <c r="FP5" s="23">
        <v>51.25</v>
      </c>
      <c r="FQ5" s="4">
        <v>-3.39E-2</v>
      </c>
      <c r="FR5" s="6">
        <f>(FP5-FP6)/FP6</f>
        <v>-3.3930254476908527E-2</v>
      </c>
    </row>
    <row r="6" spans="1:174">
      <c r="A6" s="7">
        <v>44075</v>
      </c>
      <c r="B6" s="3">
        <v>13.71</v>
      </c>
      <c r="C6" s="4">
        <v>-2.5600000000000001E-2</v>
      </c>
      <c r="D6" s="6">
        <f t="shared" ref="D6:D31" si="1">(B6-B7)/B7</f>
        <v>-2.5586353944562858E-2</v>
      </c>
      <c r="F6" s="7">
        <v>44075</v>
      </c>
      <c r="G6" s="3">
        <v>21.08</v>
      </c>
      <c r="H6" s="4">
        <v>-6.8500000000000005E-2</v>
      </c>
      <c r="I6" s="6">
        <f t="shared" si="0"/>
        <v>-6.8493150684931545E-2</v>
      </c>
      <c r="K6" s="7">
        <v>44075</v>
      </c>
      <c r="L6" s="3">
        <v>13.88</v>
      </c>
      <c r="M6" s="4">
        <v>4.4400000000000002E-2</v>
      </c>
      <c r="N6" s="6">
        <f t="shared" ref="N6:N15" si="2">(L6-L7)/L7</f>
        <v>4.4394281414597565E-2</v>
      </c>
      <c r="P6" s="7">
        <v>44075</v>
      </c>
      <c r="Q6" s="3">
        <v>95.77</v>
      </c>
      <c r="R6" s="4">
        <v>-4.07E-2</v>
      </c>
      <c r="S6" s="6">
        <f t="shared" ref="S6:S15" si="3">(Q6-Q7)/Q7</f>
        <v>-4.0669137533807499E-2</v>
      </c>
      <c r="U6" s="7">
        <v>44075</v>
      </c>
      <c r="V6" s="3">
        <v>256.79000000000002</v>
      </c>
      <c r="W6" s="4">
        <v>3.5499999999999997E-2</v>
      </c>
      <c r="X6" s="6">
        <f t="shared" ref="X6:X15" si="4">(V6-V7)/V7</f>
        <v>3.5527058633760912E-2</v>
      </c>
      <c r="Z6" s="7">
        <v>44075</v>
      </c>
      <c r="AA6" s="3">
        <v>16.559999999999999</v>
      </c>
      <c r="AB6" s="4">
        <v>-5.3699999999999998E-2</v>
      </c>
      <c r="AC6" s="6">
        <f t="shared" ref="AC6:AC15" si="5">(AA6-AA7)/AA7</f>
        <v>-5.3714285714285791E-2</v>
      </c>
      <c r="AE6" s="7">
        <v>44075</v>
      </c>
      <c r="AF6" s="3">
        <v>45.13</v>
      </c>
      <c r="AG6" s="4">
        <v>7.9399999999999998E-2</v>
      </c>
      <c r="AH6" s="6">
        <f t="shared" ref="AH6:AH15" si="6">(AF6-AF7)/AF7</f>
        <v>7.9406840468787376E-2</v>
      </c>
      <c r="AJ6" s="7">
        <v>44075</v>
      </c>
      <c r="AK6" s="3">
        <v>41.37</v>
      </c>
      <c r="AL6" s="4">
        <v>2.35E-2</v>
      </c>
      <c r="AM6" s="6">
        <f t="shared" ref="AM6:AM15" si="7">(AK6-AK7)/AK7</f>
        <v>2.3503216229589206E-2</v>
      </c>
      <c r="AO6" s="7">
        <v>44075</v>
      </c>
      <c r="AP6" s="3">
        <v>50.11</v>
      </c>
      <c r="AQ6" s="4">
        <v>8.6999999999999994E-2</v>
      </c>
      <c r="AR6" s="6">
        <f t="shared" ref="AR6:AR15" si="8">(AP6-AP7)/AP7</f>
        <v>8.6984815618221217E-2</v>
      </c>
      <c r="AT6" s="7">
        <v>44075</v>
      </c>
      <c r="AU6" s="3">
        <v>8.3800000000000008</v>
      </c>
      <c r="AV6" s="4">
        <v>0.19370000000000001</v>
      </c>
      <c r="AW6" s="6">
        <f t="shared" ref="AW6:AW15" si="9">(AU6-AU7)/AU7</f>
        <v>0.19373219373219391</v>
      </c>
      <c r="AY6" s="7">
        <v>44075</v>
      </c>
      <c r="AZ6" s="3">
        <v>90.19</v>
      </c>
      <c r="BA6" s="4">
        <v>-1.7500000000000002E-2</v>
      </c>
      <c r="BB6" s="6">
        <f t="shared" ref="BB6:BB15" si="10">(AZ6-AZ7)/AZ7</f>
        <v>-1.7538126361655769E-2</v>
      </c>
      <c r="BD6" s="7">
        <v>44075</v>
      </c>
      <c r="BE6" s="3">
        <v>33.32</v>
      </c>
      <c r="BF6" s="4">
        <v>1.9E-2</v>
      </c>
      <c r="BG6" s="6">
        <f t="shared" ref="BG6:BG15" si="11">(BE6-BE7)/BE7</f>
        <v>1.8960244648317963E-2</v>
      </c>
      <c r="BI6" s="7">
        <v>44075</v>
      </c>
      <c r="BJ6" s="23">
        <v>62.86</v>
      </c>
      <c r="BK6" s="4">
        <v>9.3200000000000005E-2</v>
      </c>
      <c r="BL6" s="6">
        <f t="shared" ref="BL6:BL15" si="12">BJ6/BJ7-1</f>
        <v>9.3217391304347919E-2</v>
      </c>
      <c r="BM6" s="22"/>
      <c r="BN6" s="7">
        <v>44075</v>
      </c>
      <c r="BO6" s="23">
        <v>1198.9000000000001</v>
      </c>
      <c r="BP6" s="4">
        <v>8.0000000000000004E-4</v>
      </c>
      <c r="BQ6" s="6">
        <f t="shared" ref="BQ6:BQ15" si="13">BO6/BO7-1</f>
        <v>7.5960567283539504E-4</v>
      </c>
      <c r="BR6" s="22"/>
      <c r="BS6" s="7">
        <v>44075</v>
      </c>
      <c r="BT6" s="23">
        <v>76.62</v>
      </c>
      <c r="BU6" s="4">
        <v>1.26E-2</v>
      </c>
      <c r="BV6" s="6">
        <f t="shared" ref="BV6:BV15" si="14">BT6/BT7-1</f>
        <v>1.2554513017047686E-2</v>
      </c>
      <c r="BW6" s="22"/>
      <c r="BX6" s="7">
        <v>44075</v>
      </c>
      <c r="BY6" s="23">
        <v>124.6</v>
      </c>
      <c r="BZ6" s="4">
        <v>-2.1700000000000001E-2</v>
      </c>
      <c r="CA6" s="6">
        <f t="shared" ref="CA6:CA15" si="15">BY6/BY7-1</f>
        <v>-2.1670854271356843E-2</v>
      </c>
      <c r="CB6" s="22"/>
      <c r="CC6" s="7">
        <v>44075</v>
      </c>
      <c r="CD6" s="23">
        <v>21.64</v>
      </c>
      <c r="CE6" s="4">
        <v>-5.7500000000000002E-2</v>
      </c>
      <c r="CF6" s="6">
        <f t="shared" ref="CF6:CF15" si="16">CD6/CD7-1</f>
        <v>-5.7491289198606244E-2</v>
      </c>
      <c r="CG6" s="22"/>
      <c r="CH6" s="7">
        <v>44075</v>
      </c>
      <c r="CI6" s="23">
        <v>6.31</v>
      </c>
      <c r="CJ6" s="4">
        <v>-0.1212</v>
      </c>
      <c r="CK6" s="6">
        <f t="shared" ref="CK6:CK15" si="17">CI6/CI7-1</f>
        <v>-0.12116991643454045</v>
      </c>
      <c r="CL6" s="22"/>
      <c r="CM6" s="7">
        <v>44075</v>
      </c>
      <c r="CN6" s="23">
        <v>56.25</v>
      </c>
      <c r="CO6" s="4">
        <v>-3.6799999999999999E-2</v>
      </c>
      <c r="CP6" s="6">
        <f t="shared" ref="CP6:CP15" si="18">CN6/CN7-1</f>
        <v>-3.6815068493150638E-2</v>
      </c>
      <c r="CQ6" s="22"/>
      <c r="CR6" s="7">
        <v>44075</v>
      </c>
      <c r="CS6" s="23">
        <v>245.05</v>
      </c>
      <c r="CT6" s="4">
        <v>-5.3199999999999997E-2</v>
      </c>
      <c r="CU6" s="6">
        <f t="shared" ref="CU6:CU15" si="19">CS6/CS7-1</f>
        <v>-5.3166415517174714E-2</v>
      </c>
      <c r="CV6" s="22"/>
      <c r="CW6" s="7">
        <v>44075</v>
      </c>
      <c r="CX6" s="23">
        <v>177.49</v>
      </c>
      <c r="CY6" s="4">
        <v>4.2999999999999997E-2</v>
      </c>
      <c r="CZ6" s="6">
        <f t="shared" ref="CZ6:CZ15" si="20">CX6/CX7-1</f>
        <v>4.2954518744858339E-2</v>
      </c>
      <c r="DA6" s="22"/>
      <c r="DB6" s="7">
        <v>44075</v>
      </c>
      <c r="DC6" s="23">
        <v>45.43</v>
      </c>
      <c r="DD6" s="4">
        <v>5.1400000000000001E-2</v>
      </c>
      <c r="DE6" s="6">
        <f t="shared" ref="DE6:DE15" si="21">DC6/DC7-1</f>
        <v>5.1376996065725544E-2</v>
      </c>
      <c r="DF6" s="22"/>
      <c r="DG6" s="7">
        <v>44075</v>
      </c>
      <c r="DH6" s="23">
        <v>103.03</v>
      </c>
      <c r="DI6" s="4">
        <v>3.5299999999999998E-2</v>
      </c>
      <c r="DJ6" s="6">
        <f t="shared" ref="DJ6:DJ15" si="22">DH6/DH7-1</f>
        <v>3.5269292604501734E-2</v>
      </c>
      <c r="DK6" s="22"/>
      <c r="DL6" s="7">
        <v>44075</v>
      </c>
      <c r="DM6" s="23">
        <v>17.23</v>
      </c>
      <c r="DN6" s="4">
        <v>7.6200000000000004E-2</v>
      </c>
      <c r="DO6" s="6">
        <f t="shared" ref="DO6:DO15" si="23">DM6/DM7-1</f>
        <v>7.6202373516552013E-2</v>
      </c>
      <c r="DQ6" s="7">
        <v>44075</v>
      </c>
      <c r="DR6" s="23">
        <v>27.32</v>
      </c>
      <c r="DS6" s="4">
        <v>1.11E-2</v>
      </c>
      <c r="DT6" s="6">
        <f t="shared" ref="DT6:DT15" si="24">(DR6-DR7)/DR7</f>
        <v>1.1102886750555171E-2</v>
      </c>
      <c r="DU6" s="24"/>
      <c r="DV6" s="7">
        <v>44075</v>
      </c>
      <c r="DW6" s="23">
        <v>66.63</v>
      </c>
      <c r="DX6" s="4">
        <v>3.9600000000000003E-2</v>
      </c>
      <c r="DY6" s="6">
        <f t="shared" ref="DY6:DY15" si="25">(DW6-DW7)/DW7</f>
        <v>3.9631767826493865E-2</v>
      </c>
      <c r="DZ6" s="24"/>
      <c r="EA6" s="7">
        <v>44075</v>
      </c>
      <c r="EB6" s="23">
        <v>35.1</v>
      </c>
      <c r="EC6" s="4">
        <v>-1.6999999999999999E-3</v>
      </c>
      <c r="ED6" s="6">
        <f t="shared" ref="ED6:ED15" si="26">(EB6-EB7)/EB7</f>
        <v>-1.706484641638088E-3</v>
      </c>
      <c r="EE6" s="24"/>
      <c r="EF6" s="7">
        <v>44075</v>
      </c>
      <c r="EG6" s="23">
        <v>63.63</v>
      </c>
      <c r="EH6" s="4">
        <v>1.0200000000000001E-2</v>
      </c>
      <c r="EI6" s="6">
        <f t="shared" ref="EI6:EI15" si="27">(EG6-EG7)/EG7</f>
        <v>1.0160342911573274E-2</v>
      </c>
      <c r="EJ6" s="24"/>
      <c r="EK6" s="7">
        <v>44075</v>
      </c>
      <c r="EL6" s="23">
        <v>101.55</v>
      </c>
      <c r="EM6" s="4">
        <v>1.5900000000000001E-2</v>
      </c>
      <c r="EN6" s="6">
        <f t="shared" ref="EN6:EN15" si="28">(EL6-EL7)/EL7</f>
        <v>1.5906362545018041E-2</v>
      </c>
      <c r="EO6" s="24"/>
      <c r="EP6" s="7">
        <v>44075</v>
      </c>
      <c r="EQ6" s="23">
        <v>38.74</v>
      </c>
      <c r="ER6" s="4">
        <v>0.1018</v>
      </c>
      <c r="ES6" s="6">
        <f t="shared" ref="ES6:ES15" si="29">(EQ6-EQ7)/EQ7</f>
        <v>0.10182025028441427</v>
      </c>
      <c r="ET6" s="24"/>
      <c r="EU6" s="7">
        <v>44075</v>
      </c>
      <c r="EV6" s="23">
        <v>357.29</v>
      </c>
      <c r="EW6" s="4">
        <v>-2.1299999999999999E-2</v>
      </c>
      <c r="EX6" s="6">
        <f t="shared" ref="EX6:EX15" si="30">(EV6-EV7)/EV7</f>
        <v>-2.1257362005204741E-2</v>
      </c>
      <c r="EY6" s="24"/>
      <c r="EZ6" s="7">
        <v>44075</v>
      </c>
      <c r="FA6" s="23">
        <v>156.37</v>
      </c>
      <c r="FB6" s="4">
        <v>-3.8800000000000001E-2</v>
      </c>
      <c r="FC6" s="6">
        <f t="shared" ref="FC6:FC15" si="31">(FA6-FA7)/FA7</f>
        <v>-3.8787804278337855E-2</v>
      </c>
      <c r="FD6" s="24"/>
      <c r="FE6" s="7">
        <v>44075</v>
      </c>
      <c r="FF6" s="23">
        <v>83.39</v>
      </c>
      <c r="FG6" s="4">
        <v>-3.0800000000000001E-2</v>
      </c>
      <c r="FH6" s="6">
        <f t="shared" ref="FH6:FH15" si="32">(FF6-FF7)/FF7</f>
        <v>-3.0799628079962872E-2</v>
      </c>
      <c r="FI6" s="24"/>
      <c r="FJ6" s="7">
        <v>44075</v>
      </c>
      <c r="FK6" s="23">
        <v>19.899999999999999</v>
      </c>
      <c r="FL6" s="4">
        <v>0.2046</v>
      </c>
      <c r="FM6" s="6">
        <f t="shared" ref="FM6:FM15" si="33">(FK6-FK7)/FK7</f>
        <v>0.20460048426150115</v>
      </c>
      <c r="FN6" s="24"/>
      <c r="FO6" s="7">
        <v>44075</v>
      </c>
      <c r="FP6" s="23">
        <v>53.05</v>
      </c>
      <c r="FQ6" s="4">
        <v>9.9000000000000008E-3</v>
      </c>
      <c r="FR6" s="6">
        <f t="shared" ref="FR6:FR15" si="34">(FP6-FP7)/FP7</f>
        <v>9.8991052731771563E-3</v>
      </c>
    </row>
    <row r="7" spans="1:174">
      <c r="A7" s="7">
        <v>44044</v>
      </c>
      <c r="B7" s="3">
        <v>14.07</v>
      </c>
      <c r="C7" s="4">
        <v>0.1686</v>
      </c>
      <c r="D7" s="6">
        <f t="shared" si="1"/>
        <v>0.1686046511627908</v>
      </c>
      <c r="F7" s="7">
        <v>44044</v>
      </c>
      <c r="G7" s="3">
        <v>22.63</v>
      </c>
      <c r="H7" s="4">
        <v>4.48E-2</v>
      </c>
      <c r="I7" s="6">
        <f t="shared" si="0"/>
        <v>4.4783010156971323E-2</v>
      </c>
      <c r="K7" s="7">
        <v>44044</v>
      </c>
      <c r="L7" s="3">
        <v>13.29</v>
      </c>
      <c r="M7" s="4">
        <v>-0.05</v>
      </c>
      <c r="N7" s="6">
        <f t="shared" si="2"/>
        <v>-5.0035739814153039E-2</v>
      </c>
      <c r="P7" s="7">
        <v>44044</v>
      </c>
      <c r="Q7" s="3">
        <v>99.83</v>
      </c>
      <c r="R7" s="4">
        <v>-9.0499999999999997E-2</v>
      </c>
      <c r="S7" s="6">
        <f t="shared" si="3"/>
        <v>-9.0470116618075858E-2</v>
      </c>
      <c r="U7" s="7">
        <v>44044</v>
      </c>
      <c r="V7" s="3">
        <v>247.98</v>
      </c>
      <c r="W7" s="4">
        <v>0.1211</v>
      </c>
      <c r="X7" s="6">
        <f t="shared" si="4"/>
        <v>0.12106690777576855</v>
      </c>
      <c r="Z7" s="7">
        <v>44044</v>
      </c>
      <c r="AA7" s="3">
        <v>17.5</v>
      </c>
      <c r="AB7" s="4">
        <v>2.1600000000000001E-2</v>
      </c>
      <c r="AC7" s="6">
        <f t="shared" si="5"/>
        <v>2.1599532983070695E-2</v>
      </c>
      <c r="AE7" s="7">
        <v>44044</v>
      </c>
      <c r="AF7" s="3">
        <v>41.81</v>
      </c>
      <c r="AG7" s="4">
        <v>-6.2300000000000001E-2</v>
      </c>
      <c r="AH7" s="6">
        <f t="shared" si="6"/>
        <v>-6.2345817447858283E-2</v>
      </c>
      <c r="AJ7" s="7">
        <v>44044</v>
      </c>
      <c r="AK7" s="3">
        <v>40.42</v>
      </c>
      <c r="AL7" s="4">
        <v>8.2000000000000007E-3</v>
      </c>
      <c r="AM7" s="6">
        <f t="shared" si="7"/>
        <v>8.2314791718632648E-3</v>
      </c>
      <c r="AO7" s="7">
        <v>44044</v>
      </c>
      <c r="AP7" s="3">
        <v>46.1</v>
      </c>
      <c r="AQ7" s="4">
        <v>2.63E-2</v>
      </c>
      <c r="AR7" s="6">
        <f t="shared" si="8"/>
        <v>2.6268922528940333E-2</v>
      </c>
      <c r="AT7" s="7">
        <v>44044</v>
      </c>
      <c r="AU7" s="3">
        <v>7.02</v>
      </c>
      <c r="AV7" s="4">
        <v>2.93E-2</v>
      </c>
      <c r="AW7" s="6">
        <f t="shared" si="9"/>
        <v>2.9325513196480833E-2</v>
      </c>
      <c r="AY7" s="7">
        <v>44044</v>
      </c>
      <c r="AZ7" s="3">
        <v>91.8</v>
      </c>
      <c r="BA7" s="4">
        <v>-1.2999999999999999E-3</v>
      </c>
      <c r="BB7" s="6">
        <f t="shared" si="10"/>
        <v>-1.3054830287206761E-3</v>
      </c>
      <c r="BD7" s="7">
        <v>44044</v>
      </c>
      <c r="BE7" s="3">
        <v>32.700000000000003</v>
      </c>
      <c r="BF7" s="4">
        <v>-1.6199999999999999E-2</v>
      </c>
      <c r="BG7" s="6">
        <f t="shared" si="11"/>
        <v>-1.6245487364620913E-2</v>
      </c>
      <c r="BI7" s="7">
        <v>44044</v>
      </c>
      <c r="BJ7" s="23">
        <v>57.5</v>
      </c>
      <c r="BK7" s="4">
        <v>5.3900000000000003E-2</v>
      </c>
      <c r="BL7" s="6">
        <f t="shared" si="12"/>
        <v>5.3885630498533788E-2</v>
      </c>
      <c r="BM7" s="22"/>
      <c r="BN7" s="7">
        <v>44044</v>
      </c>
      <c r="BO7" s="23">
        <v>1197.99</v>
      </c>
      <c r="BP7" s="4">
        <v>5.1999999999999998E-3</v>
      </c>
      <c r="BQ7" s="6">
        <f t="shared" si="13"/>
        <v>5.2106932487538948E-3</v>
      </c>
      <c r="BR7" s="22"/>
      <c r="BS7" s="7">
        <v>44044</v>
      </c>
      <c r="BT7" s="23">
        <v>75.67</v>
      </c>
      <c r="BU7" s="4">
        <v>-5.2900000000000003E-2</v>
      </c>
      <c r="BV7" s="6">
        <f t="shared" si="14"/>
        <v>-5.2941176470588269E-2</v>
      </c>
      <c r="BW7" s="22"/>
      <c r="BX7" s="7">
        <v>44044</v>
      </c>
      <c r="BY7" s="23">
        <v>127.36</v>
      </c>
      <c r="BZ7" s="4">
        <v>-6.7400000000000002E-2</v>
      </c>
      <c r="CA7" s="6">
        <f t="shared" si="15"/>
        <v>-6.7369654364382026E-2</v>
      </c>
      <c r="CB7" s="22"/>
      <c r="CC7" s="7">
        <v>44044</v>
      </c>
      <c r="CD7" s="23">
        <v>22.96</v>
      </c>
      <c r="CE7" s="4">
        <v>-2.3E-2</v>
      </c>
      <c r="CF7" s="6">
        <f t="shared" si="16"/>
        <v>-2.297872340425533E-2</v>
      </c>
      <c r="CG7" s="22"/>
      <c r="CH7" s="7">
        <v>44044</v>
      </c>
      <c r="CI7" s="23">
        <v>7.18</v>
      </c>
      <c r="CJ7" s="4">
        <v>-7.5899999999999995E-2</v>
      </c>
      <c r="CK7" s="6">
        <f t="shared" si="17"/>
        <v>-7.5933075933075966E-2</v>
      </c>
      <c r="CL7" s="22"/>
      <c r="CM7" s="7">
        <v>44044</v>
      </c>
      <c r="CN7" s="23">
        <v>58.4</v>
      </c>
      <c r="CO7" s="4">
        <v>3.9E-2</v>
      </c>
      <c r="CP7" s="6">
        <f t="shared" si="18"/>
        <v>3.8961038961038863E-2</v>
      </c>
      <c r="CQ7" s="22"/>
      <c r="CR7" s="7">
        <v>44044</v>
      </c>
      <c r="CS7" s="23">
        <v>258.81</v>
      </c>
      <c r="CT7" s="4">
        <v>-8.9999999999999993E-3</v>
      </c>
      <c r="CU7" s="6">
        <f t="shared" si="19"/>
        <v>-8.9603676048247705E-3</v>
      </c>
      <c r="CV7" s="22"/>
      <c r="CW7" s="7">
        <v>44044</v>
      </c>
      <c r="CX7" s="23">
        <v>170.18</v>
      </c>
      <c r="CY7" s="4">
        <v>0.152</v>
      </c>
      <c r="CZ7" s="6">
        <f t="shared" si="20"/>
        <v>0.15196642523522663</v>
      </c>
      <c r="DA7" s="22"/>
      <c r="DB7" s="7">
        <v>44044</v>
      </c>
      <c r="DC7" s="23">
        <v>43.21</v>
      </c>
      <c r="DD7" s="4">
        <v>-1.66E-2</v>
      </c>
      <c r="DE7" s="6">
        <f t="shared" si="21"/>
        <v>-1.6613563950842014E-2</v>
      </c>
      <c r="DF7" s="22"/>
      <c r="DG7" s="7">
        <v>44044</v>
      </c>
      <c r="DH7" s="23">
        <v>99.52</v>
      </c>
      <c r="DI7" s="4">
        <v>-5.0200000000000002E-2</v>
      </c>
      <c r="DJ7" s="6">
        <f t="shared" si="22"/>
        <v>-5.0200419927467155E-2</v>
      </c>
      <c r="DK7" s="22"/>
      <c r="DL7" s="7">
        <v>44044</v>
      </c>
      <c r="DM7" s="23">
        <v>16.010000000000002</v>
      </c>
      <c r="DN7" s="4">
        <v>1.2999999999999999E-3</v>
      </c>
      <c r="DO7" s="6">
        <f t="shared" si="23"/>
        <v>1.2507817385867259E-3</v>
      </c>
      <c r="DQ7" s="7">
        <v>44044</v>
      </c>
      <c r="DR7" s="23">
        <v>27.02</v>
      </c>
      <c r="DS7" s="4">
        <v>8.5099999999999995E-2</v>
      </c>
      <c r="DT7" s="6">
        <f t="shared" si="24"/>
        <v>8.5140562248996035E-2</v>
      </c>
      <c r="DU7" s="24"/>
      <c r="DV7" s="7">
        <v>44044</v>
      </c>
      <c r="DW7" s="23">
        <v>64.09</v>
      </c>
      <c r="DX7" s="4">
        <v>-3.1600000000000003E-2</v>
      </c>
      <c r="DY7" s="6">
        <f t="shared" si="25"/>
        <v>-3.1580537926866173E-2</v>
      </c>
      <c r="DZ7" s="24"/>
      <c r="EA7" s="7">
        <v>44044</v>
      </c>
      <c r="EB7" s="23">
        <v>35.159999999999997</v>
      </c>
      <c r="EC7" s="4">
        <v>-3.4599999999999999E-2</v>
      </c>
      <c r="ED7" s="6">
        <f t="shared" si="26"/>
        <v>-3.4596375617792559E-2</v>
      </c>
      <c r="EE7" s="24"/>
      <c r="EF7" s="7">
        <v>44044</v>
      </c>
      <c r="EG7" s="23">
        <v>62.99</v>
      </c>
      <c r="EH7" s="4">
        <v>-4.7E-2</v>
      </c>
      <c r="EI7" s="6">
        <f t="shared" si="27"/>
        <v>-4.7049924357034686E-2</v>
      </c>
      <c r="EJ7" s="24"/>
      <c r="EK7" s="7">
        <v>44044</v>
      </c>
      <c r="EL7" s="23">
        <v>99.96</v>
      </c>
      <c r="EM7" s="4">
        <v>0.09</v>
      </c>
      <c r="EN7" s="6">
        <f t="shared" si="28"/>
        <v>8.9957474648348065E-2</v>
      </c>
      <c r="EO7" s="24"/>
      <c r="EP7" s="7">
        <v>44044</v>
      </c>
      <c r="EQ7" s="23">
        <v>35.159999999999997</v>
      </c>
      <c r="ER7" s="4">
        <v>-2.3E-3</v>
      </c>
      <c r="ES7" s="6">
        <f t="shared" si="29"/>
        <v>-2.2701475595915265E-3</v>
      </c>
      <c r="ET7" s="24"/>
      <c r="EU7" s="7">
        <v>44044</v>
      </c>
      <c r="EV7" s="23">
        <v>365.05</v>
      </c>
      <c r="EW7" s="4">
        <v>9.9299999999999999E-2</v>
      </c>
      <c r="EX7" s="6">
        <f t="shared" si="30"/>
        <v>9.9250203258153022E-2</v>
      </c>
      <c r="EY7" s="24"/>
      <c r="EZ7" s="7">
        <v>44044</v>
      </c>
      <c r="FA7" s="23">
        <v>162.68</v>
      </c>
      <c r="FB7" s="4">
        <v>-4.3E-3</v>
      </c>
      <c r="FC7" s="6">
        <f t="shared" si="31"/>
        <v>-4.2844901456725957E-3</v>
      </c>
      <c r="FD7" s="24"/>
      <c r="FE7" s="7">
        <v>44044</v>
      </c>
      <c r="FF7" s="23">
        <v>86.04</v>
      </c>
      <c r="FG7" s="4">
        <v>-4.2999999999999997E-2</v>
      </c>
      <c r="FH7" s="6">
        <f t="shared" si="32"/>
        <v>-4.304304304304294E-2</v>
      </c>
      <c r="FI7" s="24"/>
      <c r="FJ7" s="7">
        <v>44044</v>
      </c>
      <c r="FK7" s="23">
        <v>16.52</v>
      </c>
      <c r="FL7" s="4">
        <v>-7.1999999999999998E-3</v>
      </c>
      <c r="FM7" s="6">
        <f t="shared" si="33"/>
        <v>-7.2115384615385209E-3</v>
      </c>
      <c r="FN7" s="24"/>
      <c r="FO7" s="7">
        <v>44044</v>
      </c>
      <c r="FP7" s="23">
        <v>52.53</v>
      </c>
      <c r="FQ7" s="4">
        <v>5.7000000000000002E-3</v>
      </c>
      <c r="FR7" s="6">
        <f t="shared" si="34"/>
        <v>5.7438253877082953E-3</v>
      </c>
    </row>
    <row r="8" spans="1:174">
      <c r="A8" s="7">
        <v>44013</v>
      </c>
      <c r="B8" s="3">
        <v>12.04</v>
      </c>
      <c r="C8" s="4">
        <v>-7.0300000000000001E-2</v>
      </c>
      <c r="D8" s="6">
        <f t="shared" si="1"/>
        <v>-7.0270270270270288E-2</v>
      </c>
      <c r="F8" s="7">
        <v>44013</v>
      </c>
      <c r="G8" s="3">
        <v>21.66</v>
      </c>
      <c r="H8" s="4">
        <v>-4.2000000000000003E-2</v>
      </c>
      <c r="I8" s="6">
        <f t="shared" si="0"/>
        <v>-4.2016806722689044E-2</v>
      </c>
      <c r="K8" s="7">
        <v>44013</v>
      </c>
      <c r="L8" s="3">
        <v>13.99</v>
      </c>
      <c r="M8" s="4">
        <v>-5.1499999999999997E-2</v>
      </c>
      <c r="N8" s="6">
        <f t="shared" si="2"/>
        <v>-5.1525423728813545E-2</v>
      </c>
      <c r="P8" s="7">
        <v>44013</v>
      </c>
      <c r="Q8" s="3">
        <v>109.76</v>
      </c>
      <c r="R8" s="4">
        <v>8.9399999999999993E-2</v>
      </c>
      <c r="S8" s="6">
        <f t="shared" si="3"/>
        <v>8.9429280397022387E-2</v>
      </c>
      <c r="U8" s="7">
        <v>44013</v>
      </c>
      <c r="V8" s="3">
        <v>221.2</v>
      </c>
      <c r="W8" s="4">
        <v>-0.1381</v>
      </c>
      <c r="X8" s="6">
        <f t="shared" si="4"/>
        <v>-0.13812585232807323</v>
      </c>
      <c r="Z8" s="7">
        <v>44013</v>
      </c>
      <c r="AA8" s="3">
        <v>17.13</v>
      </c>
      <c r="AB8" s="4">
        <v>-0.12330000000000001</v>
      </c>
      <c r="AC8" s="6">
        <f t="shared" si="5"/>
        <v>-0.12333674513817811</v>
      </c>
      <c r="AE8" s="7">
        <v>44013</v>
      </c>
      <c r="AF8" s="3">
        <v>44.59</v>
      </c>
      <c r="AG8" s="4">
        <v>7.4999999999999997E-3</v>
      </c>
      <c r="AH8" s="6">
        <f t="shared" si="6"/>
        <v>7.4559421599639727E-3</v>
      </c>
      <c r="AJ8" s="7">
        <v>44013</v>
      </c>
      <c r="AK8" s="3">
        <v>40.090000000000003</v>
      </c>
      <c r="AL8" s="4">
        <v>4.2099999999999999E-2</v>
      </c>
      <c r="AM8" s="6">
        <f t="shared" si="7"/>
        <v>4.2110735638159723E-2</v>
      </c>
      <c r="AO8" s="7">
        <v>44013</v>
      </c>
      <c r="AP8" s="3">
        <v>44.92</v>
      </c>
      <c r="AQ8" s="4">
        <v>4.4200000000000003E-2</v>
      </c>
      <c r="AR8" s="6">
        <f t="shared" si="8"/>
        <v>4.4165504416550407E-2</v>
      </c>
      <c r="AT8" s="7">
        <v>44013</v>
      </c>
      <c r="AU8" s="3">
        <v>6.82</v>
      </c>
      <c r="AV8" s="4">
        <v>5.2499999999999998E-2</v>
      </c>
      <c r="AW8" s="6">
        <f t="shared" si="9"/>
        <v>5.2469135802469112E-2</v>
      </c>
      <c r="AY8" s="7">
        <v>44013</v>
      </c>
      <c r="AZ8" s="3">
        <v>91.92</v>
      </c>
      <c r="BA8" s="4">
        <v>-8.6499999999999994E-2</v>
      </c>
      <c r="BB8" s="6">
        <f t="shared" si="10"/>
        <v>-8.6463923673226029E-2</v>
      </c>
      <c r="BD8" s="7">
        <v>44013</v>
      </c>
      <c r="BE8" s="3">
        <v>33.24</v>
      </c>
      <c r="BF8" s="4">
        <v>-2.52E-2</v>
      </c>
      <c r="BG8" s="6">
        <f t="shared" si="11"/>
        <v>-2.5219941348973589E-2</v>
      </c>
      <c r="BI8" s="7">
        <v>44013</v>
      </c>
      <c r="BJ8" s="23">
        <v>54.56</v>
      </c>
      <c r="BK8" s="4">
        <v>-3.1899999999999998E-2</v>
      </c>
      <c r="BL8" s="6">
        <f t="shared" si="12"/>
        <v>-3.1937544357700465E-2</v>
      </c>
      <c r="BM8" s="22"/>
      <c r="BN8" s="7">
        <v>44013</v>
      </c>
      <c r="BO8" s="23">
        <v>1191.78</v>
      </c>
      <c r="BP8" s="4">
        <v>-5.4399999999999997E-2</v>
      </c>
      <c r="BQ8" s="6">
        <f t="shared" si="13"/>
        <v>-5.4398019582017509E-2</v>
      </c>
      <c r="BR8" s="22"/>
      <c r="BS8" s="7">
        <v>44013</v>
      </c>
      <c r="BT8" s="23">
        <v>79.900000000000006</v>
      </c>
      <c r="BU8" s="4">
        <v>2.3E-3</v>
      </c>
      <c r="BV8" s="6">
        <f t="shared" si="14"/>
        <v>2.2579026593076978E-3</v>
      </c>
      <c r="BW8" s="22"/>
      <c r="BX8" s="7">
        <v>44013</v>
      </c>
      <c r="BY8" s="23">
        <v>136.56</v>
      </c>
      <c r="BZ8" s="4">
        <v>-4.1599999999999998E-2</v>
      </c>
      <c r="CA8" s="6">
        <f t="shared" si="15"/>
        <v>-4.1616955575829895E-2</v>
      </c>
      <c r="CB8" s="22"/>
      <c r="CC8" s="7">
        <v>44013</v>
      </c>
      <c r="CD8" s="23">
        <v>23.5</v>
      </c>
      <c r="CE8" s="4">
        <v>1.2999999999999999E-3</v>
      </c>
      <c r="CF8" s="6">
        <f t="shared" si="16"/>
        <v>1.2782275244993535E-3</v>
      </c>
      <c r="CG8" s="22"/>
      <c r="CH8" s="7">
        <v>44013</v>
      </c>
      <c r="CI8" s="23">
        <v>7.77</v>
      </c>
      <c r="CJ8" s="4">
        <v>-0.29430000000000001</v>
      </c>
      <c r="CK8" s="6">
        <f t="shared" si="17"/>
        <v>-0.29427792915531337</v>
      </c>
      <c r="CL8" s="22"/>
      <c r="CM8" s="7">
        <v>44013</v>
      </c>
      <c r="CN8" s="23">
        <v>56.21</v>
      </c>
      <c r="CO8" s="4">
        <v>5.1999999999999998E-2</v>
      </c>
      <c r="CP8" s="6">
        <f t="shared" si="18"/>
        <v>5.2030694366460795E-2</v>
      </c>
      <c r="CQ8" s="22"/>
      <c r="CR8" s="7">
        <v>44013</v>
      </c>
      <c r="CS8" s="23">
        <v>261.14999999999998</v>
      </c>
      <c r="CT8" s="4">
        <v>5.28E-2</v>
      </c>
      <c r="CU8" s="6">
        <f t="shared" si="19"/>
        <v>5.2811933078008355E-2</v>
      </c>
      <c r="CV8" s="22"/>
      <c r="CW8" s="7">
        <v>44013</v>
      </c>
      <c r="CX8" s="23">
        <v>147.72999999999999</v>
      </c>
      <c r="CY8" s="4">
        <v>-0.1061</v>
      </c>
      <c r="CZ8" s="6">
        <f t="shared" si="20"/>
        <v>-0.10612936407091433</v>
      </c>
      <c r="DA8" s="22"/>
      <c r="DB8" s="7">
        <v>44013</v>
      </c>
      <c r="DC8" s="23">
        <v>43.94</v>
      </c>
      <c r="DD8" s="4">
        <v>-1.9599999999999999E-2</v>
      </c>
      <c r="DE8" s="6">
        <f t="shared" si="21"/>
        <v>-1.9634091923248609E-2</v>
      </c>
      <c r="DF8" s="22"/>
      <c r="DG8" s="7">
        <v>44013</v>
      </c>
      <c r="DH8" s="23">
        <v>104.78</v>
      </c>
      <c r="DI8" s="4">
        <v>8.3599999999999994E-2</v>
      </c>
      <c r="DJ8" s="6">
        <f t="shared" si="22"/>
        <v>8.3557394002068186E-2</v>
      </c>
      <c r="DK8" s="22"/>
      <c r="DL8" s="7">
        <v>44013</v>
      </c>
      <c r="DM8" s="23">
        <v>15.99</v>
      </c>
      <c r="DN8" s="4">
        <v>2.5000000000000001E-3</v>
      </c>
      <c r="DO8" s="6">
        <f t="shared" si="23"/>
        <v>2.5078369905957576E-3</v>
      </c>
      <c r="DQ8" s="7">
        <v>44013</v>
      </c>
      <c r="DR8" s="23">
        <v>24.9</v>
      </c>
      <c r="DS8" s="4">
        <v>3.1899999999999998E-2</v>
      </c>
      <c r="DT8" s="6">
        <f t="shared" si="24"/>
        <v>3.1910484873601312E-2</v>
      </c>
      <c r="DU8" s="24"/>
      <c r="DV8" s="7">
        <v>44013</v>
      </c>
      <c r="DW8" s="23">
        <v>66.180000000000007</v>
      </c>
      <c r="DX8" s="4">
        <v>-2.3E-3</v>
      </c>
      <c r="DY8" s="6">
        <f t="shared" si="25"/>
        <v>-2.2614201718678044E-3</v>
      </c>
      <c r="DZ8" s="24"/>
      <c r="EA8" s="7">
        <v>44013</v>
      </c>
      <c r="EB8" s="23">
        <v>36.42</v>
      </c>
      <c r="EC8" s="4">
        <v>1.5100000000000001E-2</v>
      </c>
      <c r="ED8" s="6">
        <f t="shared" si="26"/>
        <v>1.5050167224080242E-2</v>
      </c>
      <c r="EE8" s="24"/>
      <c r="EF8" s="7">
        <v>44013</v>
      </c>
      <c r="EG8" s="23">
        <v>66.099999999999994</v>
      </c>
      <c r="EH8" s="4">
        <v>-1.7399999999999999E-2</v>
      </c>
      <c r="EI8" s="6">
        <f t="shared" si="27"/>
        <v>-1.7392596997175588E-2</v>
      </c>
      <c r="EJ8" s="24"/>
      <c r="EK8" s="7">
        <v>44013</v>
      </c>
      <c r="EL8" s="23">
        <v>91.71</v>
      </c>
      <c r="EM8" s="4">
        <v>-0.14169999999999999</v>
      </c>
      <c r="EN8" s="6">
        <f t="shared" si="28"/>
        <v>-0.141693963500234</v>
      </c>
      <c r="EO8" s="24"/>
      <c r="EP8" s="7">
        <v>44013</v>
      </c>
      <c r="EQ8" s="23">
        <v>35.24</v>
      </c>
      <c r="ER8" s="4">
        <v>3.7100000000000001E-2</v>
      </c>
      <c r="ES8" s="6">
        <f t="shared" si="29"/>
        <v>3.7080635668040179E-2</v>
      </c>
      <c r="ET8" s="24"/>
      <c r="EU8" s="7">
        <v>44013</v>
      </c>
      <c r="EV8" s="23">
        <v>332.09</v>
      </c>
      <c r="EW8" s="4">
        <v>0.4153</v>
      </c>
      <c r="EX8" s="6">
        <f t="shared" si="30"/>
        <v>0.4152567653952694</v>
      </c>
      <c r="EY8" s="24"/>
      <c r="EZ8" s="7">
        <v>44013</v>
      </c>
      <c r="FA8" s="23">
        <v>163.38</v>
      </c>
      <c r="FB8" s="4">
        <v>-1.32E-2</v>
      </c>
      <c r="FC8" s="6">
        <f t="shared" si="31"/>
        <v>-1.3167431746798785E-2</v>
      </c>
      <c r="FD8" s="24"/>
      <c r="FE8" s="7">
        <v>44013</v>
      </c>
      <c r="FF8" s="23">
        <v>89.91</v>
      </c>
      <c r="FG8" s="4">
        <v>-4.5999999999999999E-3</v>
      </c>
      <c r="FH8" s="6">
        <f t="shared" si="32"/>
        <v>-4.6496180670873655E-3</v>
      </c>
      <c r="FI8" s="24"/>
      <c r="FJ8" s="7">
        <v>44013</v>
      </c>
      <c r="FK8" s="23">
        <v>16.64</v>
      </c>
      <c r="FL8" s="4">
        <v>0.1421</v>
      </c>
      <c r="FM8" s="6">
        <f t="shared" si="33"/>
        <v>0.14207275223061086</v>
      </c>
      <c r="FN8" s="24"/>
      <c r="FO8" s="7">
        <v>44013</v>
      </c>
      <c r="FP8" s="23">
        <v>52.23</v>
      </c>
      <c r="FQ8" s="4">
        <v>-5.2900000000000003E-2</v>
      </c>
      <c r="FR8" s="6">
        <f t="shared" si="34"/>
        <v>-5.2946509519492327E-2</v>
      </c>
    </row>
    <row r="9" spans="1:174">
      <c r="A9" s="7">
        <v>43983</v>
      </c>
      <c r="B9" s="3">
        <v>12.95</v>
      </c>
      <c r="C9" s="4">
        <v>0.1031</v>
      </c>
      <c r="D9" s="6">
        <f t="shared" si="1"/>
        <v>0.10306643952299821</v>
      </c>
      <c r="F9" s="7">
        <v>43983</v>
      </c>
      <c r="G9" s="3">
        <v>22.61</v>
      </c>
      <c r="H9" s="4">
        <v>0.2059</v>
      </c>
      <c r="I9" s="6">
        <f t="shared" si="0"/>
        <v>0.20586666666666664</v>
      </c>
      <c r="K9" s="7">
        <v>43983</v>
      </c>
      <c r="L9" s="3">
        <v>14.75</v>
      </c>
      <c r="M9" s="4">
        <v>-4.1000000000000003E-3</v>
      </c>
      <c r="N9" s="6">
        <f t="shared" si="2"/>
        <v>-4.0513166779203571E-3</v>
      </c>
      <c r="P9" s="7">
        <v>43983</v>
      </c>
      <c r="Q9" s="3">
        <v>100.75</v>
      </c>
      <c r="R9" s="4">
        <v>1.8599999999999998E-2</v>
      </c>
      <c r="S9" s="6">
        <f t="shared" si="3"/>
        <v>1.8602770195126919E-2</v>
      </c>
      <c r="U9" s="7">
        <v>43983</v>
      </c>
      <c r="V9" s="3">
        <v>256.64999999999998</v>
      </c>
      <c r="W9" s="4">
        <v>0.1229</v>
      </c>
      <c r="X9" s="6">
        <f t="shared" si="4"/>
        <v>0.12294902647123153</v>
      </c>
      <c r="Z9" s="7">
        <v>43983</v>
      </c>
      <c r="AA9" s="3">
        <v>19.54</v>
      </c>
      <c r="AB9" s="4">
        <v>-3.3599999999999998E-2</v>
      </c>
      <c r="AC9" s="6">
        <f t="shared" si="5"/>
        <v>-3.363006923837783E-2</v>
      </c>
      <c r="AE9" s="7">
        <v>43983</v>
      </c>
      <c r="AF9" s="3">
        <v>44.26</v>
      </c>
      <c r="AG9" s="4">
        <v>0.15260000000000001</v>
      </c>
      <c r="AH9" s="6">
        <f t="shared" si="6"/>
        <v>0.15260416666666665</v>
      </c>
      <c r="AJ9" s="7">
        <v>43983</v>
      </c>
      <c r="AK9" s="3">
        <v>38.47</v>
      </c>
      <c r="AL9" s="4">
        <v>0.1096</v>
      </c>
      <c r="AM9" s="6">
        <f t="shared" si="7"/>
        <v>0.10960484568791454</v>
      </c>
      <c r="AO9" s="7">
        <v>43983</v>
      </c>
      <c r="AP9" s="3">
        <v>43.02</v>
      </c>
      <c r="AQ9" s="4">
        <v>1.2500000000000001E-2</v>
      </c>
      <c r="AR9" s="6">
        <f t="shared" si="8"/>
        <v>1.2473523181925185E-2</v>
      </c>
      <c r="AT9" s="7">
        <v>43983</v>
      </c>
      <c r="AU9" s="3">
        <v>6.48</v>
      </c>
      <c r="AV9" s="4">
        <v>0.23430000000000001</v>
      </c>
      <c r="AW9" s="6">
        <f t="shared" si="9"/>
        <v>0.23428571428571437</v>
      </c>
      <c r="AY9" s="7">
        <v>43983</v>
      </c>
      <c r="AZ9" s="3">
        <v>100.62</v>
      </c>
      <c r="BA9" s="4">
        <v>3.9600000000000003E-2</v>
      </c>
      <c r="BB9" s="6">
        <f t="shared" si="10"/>
        <v>3.9570203533422853E-2</v>
      </c>
      <c r="BD9" s="7">
        <v>43983</v>
      </c>
      <c r="BE9" s="3">
        <v>34.1</v>
      </c>
      <c r="BF9" s="4">
        <v>0.1258</v>
      </c>
      <c r="BG9" s="6">
        <f t="shared" si="11"/>
        <v>0.1257840871574778</v>
      </c>
      <c r="BI9" s="7">
        <v>43983</v>
      </c>
      <c r="BJ9" s="23">
        <v>56.36</v>
      </c>
      <c r="BK9" s="4">
        <v>1.5900000000000001E-2</v>
      </c>
      <c r="BL9" s="6">
        <f t="shared" si="12"/>
        <v>1.5861571737563196E-2</v>
      </c>
      <c r="BM9" s="22"/>
      <c r="BN9" s="7">
        <v>43983</v>
      </c>
      <c r="BO9" s="23">
        <v>1260.3399999999999</v>
      </c>
      <c r="BP9" s="4">
        <v>-4.5199999999999997E-2</v>
      </c>
      <c r="BQ9" s="6">
        <f t="shared" si="13"/>
        <v>-4.5175269134904661E-2</v>
      </c>
      <c r="BR9" s="22"/>
      <c r="BS9" s="7">
        <v>43983</v>
      </c>
      <c r="BT9" s="23">
        <v>79.72</v>
      </c>
      <c r="BU9" s="4">
        <v>0.18540000000000001</v>
      </c>
      <c r="BV9" s="6">
        <f t="shared" si="14"/>
        <v>0.18542750929368035</v>
      </c>
      <c r="BW9" s="22"/>
      <c r="BX9" s="7">
        <v>43983</v>
      </c>
      <c r="BY9" s="23">
        <v>142.49</v>
      </c>
      <c r="BZ9" s="4">
        <v>-4.9799999999999997E-2</v>
      </c>
      <c r="CA9" s="6">
        <f t="shared" si="15"/>
        <v>-4.9813283542277875E-2</v>
      </c>
      <c r="CB9" s="22"/>
      <c r="CC9" s="7">
        <v>43983</v>
      </c>
      <c r="CD9" s="23">
        <v>23.47</v>
      </c>
      <c r="CE9" s="4">
        <v>0.1613</v>
      </c>
      <c r="CF9" s="6">
        <f t="shared" si="16"/>
        <v>0.16130628401781277</v>
      </c>
      <c r="CG9" s="22"/>
      <c r="CH9" s="7">
        <v>43983</v>
      </c>
      <c r="CI9" s="23">
        <v>11.01</v>
      </c>
      <c r="CJ9" s="4">
        <v>0.20200000000000001</v>
      </c>
      <c r="CK9" s="6">
        <f t="shared" si="17"/>
        <v>0.20196506550218341</v>
      </c>
      <c r="CL9" s="22"/>
      <c r="CM9" s="7">
        <v>43983</v>
      </c>
      <c r="CN9" s="23">
        <v>53.43</v>
      </c>
      <c r="CO9" s="4">
        <v>0.12529999999999999</v>
      </c>
      <c r="CP9" s="6">
        <f t="shared" si="18"/>
        <v>0.12531592249368151</v>
      </c>
      <c r="CQ9" s="22"/>
      <c r="CR9" s="7">
        <v>43983</v>
      </c>
      <c r="CS9" s="23">
        <v>248.05</v>
      </c>
      <c r="CT9" s="4">
        <v>0.12709999999999999</v>
      </c>
      <c r="CU9" s="6">
        <f t="shared" si="19"/>
        <v>0.12709014903671401</v>
      </c>
      <c r="CV9" s="22"/>
      <c r="CW9" s="7">
        <v>43983</v>
      </c>
      <c r="CX9" s="23">
        <v>165.27</v>
      </c>
      <c r="CY9" s="4">
        <v>0.129</v>
      </c>
      <c r="CZ9" s="6">
        <f t="shared" si="20"/>
        <v>0.12897055809823099</v>
      </c>
      <c r="DA9" s="22"/>
      <c r="DB9" s="7">
        <v>43983</v>
      </c>
      <c r="DC9" s="23">
        <v>44.82</v>
      </c>
      <c r="DD9" s="4">
        <v>-0.10340000000000001</v>
      </c>
      <c r="DE9" s="6">
        <f t="shared" si="21"/>
        <v>-0.10342068413682737</v>
      </c>
      <c r="DF9" s="22"/>
      <c r="DG9" s="7">
        <v>43983</v>
      </c>
      <c r="DH9" s="23">
        <v>96.7</v>
      </c>
      <c r="DI9" s="4">
        <v>0.18779999999999999</v>
      </c>
      <c r="DJ9" s="6">
        <f t="shared" si="22"/>
        <v>0.18781476477091275</v>
      </c>
      <c r="DK9" s="22"/>
      <c r="DL9" s="7">
        <v>43983</v>
      </c>
      <c r="DM9" s="23">
        <v>15.95</v>
      </c>
      <c r="DN9" s="4">
        <v>4.9299999999999997E-2</v>
      </c>
      <c r="DO9" s="6">
        <f t="shared" si="23"/>
        <v>4.9342105263157965E-2</v>
      </c>
      <c r="DQ9" s="7">
        <v>43983</v>
      </c>
      <c r="DR9" s="23">
        <v>24.13</v>
      </c>
      <c r="DS9" s="4">
        <v>-8.1500000000000003E-2</v>
      </c>
      <c r="DT9" s="6">
        <f t="shared" si="24"/>
        <v>-8.1461743433574443E-2</v>
      </c>
      <c r="DU9" s="24"/>
      <c r="DV9" s="7">
        <v>43983</v>
      </c>
      <c r="DW9" s="23">
        <v>66.33</v>
      </c>
      <c r="DX9" s="4">
        <v>5.3900000000000003E-2</v>
      </c>
      <c r="DY9" s="6">
        <f t="shared" si="25"/>
        <v>5.386081982840802E-2</v>
      </c>
      <c r="DZ9" s="24"/>
      <c r="EA9" s="7">
        <v>43983</v>
      </c>
      <c r="EB9" s="23">
        <v>35.880000000000003</v>
      </c>
      <c r="EC9" s="4">
        <v>4.24E-2</v>
      </c>
      <c r="ED9" s="6">
        <f t="shared" si="26"/>
        <v>4.2417199302730996E-2</v>
      </c>
      <c r="EE9" s="24"/>
      <c r="EF9" s="7">
        <v>43983</v>
      </c>
      <c r="EG9" s="23">
        <v>67.27</v>
      </c>
      <c r="EH9" s="4">
        <v>3.0000000000000001E-3</v>
      </c>
      <c r="EI9" s="6">
        <f t="shared" si="27"/>
        <v>2.9819591471597264E-3</v>
      </c>
      <c r="EJ9" s="24"/>
      <c r="EK9" s="7">
        <v>43983</v>
      </c>
      <c r="EL9" s="23">
        <v>106.85</v>
      </c>
      <c r="EM9" s="4">
        <v>9.4799999999999995E-2</v>
      </c>
      <c r="EN9" s="6">
        <f t="shared" si="28"/>
        <v>9.4774590163934427E-2</v>
      </c>
      <c r="EO9" s="24"/>
      <c r="EP9" s="7">
        <v>43983</v>
      </c>
      <c r="EQ9" s="23">
        <v>33.979999999999997</v>
      </c>
      <c r="ER9" s="4">
        <v>4.4299999999999999E-2</v>
      </c>
      <c r="ES9" s="6">
        <f t="shared" si="29"/>
        <v>4.4253226797787266E-2</v>
      </c>
      <c r="ET9" s="24"/>
      <c r="EU9" s="7">
        <v>43983</v>
      </c>
      <c r="EV9" s="23">
        <v>234.65</v>
      </c>
      <c r="EW9" s="4">
        <v>0.1128</v>
      </c>
      <c r="EX9" s="6">
        <f t="shared" si="30"/>
        <v>0.11277090150329587</v>
      </c>
      <c r="EY9" s="24"/>
      <c r="EZ9" s="7">
        <v>43983</v>
      </c>
      <c r="FA9" s="23">
        <v>165.56</v>
      </c>
      <c r="FB9" s="4">
        <v>-9.9000000000000008E-3</v>
      </c>
      <c r="FC9" s="6">
        <f t="shared" si="31"/>
        <v>-9.8678308713594023E-3</v>
      </c>
      <c r="FD9" s="24"/>
      <c r="FE9" s="7">
        <v>43983</v>
      </c>
      <c r="FF9" s="23">
        <v>90.33</v>
      </c>
      <c r="FG9" s="4">
        <v>2.46E-2</v>
      </c>
      <c r="FH9" s="6">
        <f t="shared" si="32"/>
        <v>2.4614337568058097E-2</v>
      </c>
      <c r="FI9" s="24"/>
      <c r="FJ9" s="7">
        <v>43983</v>
      </c>
      <c r="FK9" s="23">
        <v>14.57</v>
      </c>
      <c r="FL9" s="4">
        <v>2.0299999999999999E-2</v>
      </c>
      <c r="FM9" s="6">
        <f t="shared" si="33"/>
        <v>2.0308123249299787E-2</v>
      </c>
      <c r="FN9" s="24"/>
      <c r="FO9" s="7">
        <v>43983</v>
      </c>
      <c r="FP9" s="23">
        <v>55.15</v>
      </c>
      <c r="FQ9" s="4">
        <v>-3.5999999999999999E-3</v>
      </c>
      <c r="FR9" s="6">
        <f t="shared" si="34"/>
        <v>-3.6133694670280551E-3</v>
      </c>
    </row>
    <row r="10" spans="1:174">
      <c r="A10" s="7">
        <v>43952</v>
      </c>
      <c r="B10" s="3">
        <v>11.74</v>
      </c>
      <c r="C10" s="4">
        <v>0.19070000000000001</v>
      </c>
      <c r="D10" s="6">
        <f t="shared" si="1"/>
        <v>0.19066937119675464</v>
      </c>
      <c r="F10" s="7">
        <v>43952</v>
      </c>
      <c r="G10" s="3">
        <v>18.75</v>
      </c>
      <c r="H10" s="4">
        <v>-5.6399999999999999E-2</v>
      </c>
      <c r="I10" s="6">
        <f t="shared" si="0"/>
        <v>-5.6366381479617561E-2</v>
      </c>
      <c r="K10" s="7">
        <v>43952</v>
      </c>
      <c r="L10" s="3">
        <v>14.81</v>
      </c>
      <c r="M10" s="4">
        <v>1.44E-2</v>
      </c>
      <c r="N10" s="6">
        <f t="shared" si="2"/>
        <v>1.4383561643835675E-2</v>
      </c>
      <c r="P10" s="7">
        <v>43952</v>
      </c>
      <c r="Q10" s="3">
        <v>98.91</v>
      </c>
      <c r="R10" s="4">
        <v>6.5500000000000003E-2</v>
      </c>
      <c r="S10" s="6">
        <f t="shared" si="3"/>
        <v>6.5496068081439179E-2</v>
      </c>
      <c r="U10" s="7">
        <v>43952</v>
      </c>
      <c r="V10" s="3">
        <v>228.55</v>
      </c>
      <c r="W10" s="4">
        <v>-5.3199999999999997E-2</v>
      </c>
      <c r="X10" s="6">
        <f t="shared" si="4"/>
        <v>-5.3191930071668156E-2</v>
      </c>
      <c r="Z10" s="7">
        <v>43952</v>
      </c>
      <c r="AA10" s="3">
        <v>20.22</v>
      </c>
      <c r="AB10" s="4">
        <v>6.4199999999999993E-2</v>
      </c>
      <c r="AC10" s="6">
        <f t="shared" si="5"/>
        <v>6.4210526315789412E-2</v>
      </c>
      <c r="AE10" s="7">
        <v>43952</v>
      </c>
      <c r="AF10" s="3">
        <v>38.4</v>
      </c>
      <c r="AG10" s="4">
        <v>3.8699999999999998E-2</v>
      </c>
      <c r="AH10" s="6">
        <f t="shared" si="6"/>
        <v>3.8680010819583437E-2</v>
      </c>
      <c r="AJ10" s="7">
        <v>43952</v>
      </c>
      <c r="AK10" s="3">
        <v>34.67</v>
      </c>
      <c r="AL10" s="4">
        <v>-2.5899999999999999E-2</v>
      </c>
      <c r="AM10" s="6">
        <f t="shared" si="7"/>
        <v>-2.5849957853329632E-2</v>
      </c>
      <c r="AO10" s="7">
        <v>43952</v>
      </c>
      <c r="AP10" s="3">
        <v>42.49</v>
      </c>
      <c r="AQ10" s="4">
        <v>-2.9499999999999998E-2</v>
      </c>
      <c r="AR10" s="6">
        <f t="shared" si="8"/>
        <v>-2.9465509365006831E-2</v>
      </c>
      <c r="AT10" s="7">
        <v>43952</v>
      </c>
      <c r="AU10" s="3">
        <v>5.25</v>
      </c>
      <c r="AV10" s="4">
        <v>3.5499999999999997E-2</v>
      </c>
      <c r="AW10" s="6">
        <f t="shared" si="9"/>
        <v>3.5502958579881602E-2</v>
      </c>
      <c r="AY10" s="7">
        <v>43952</v>
      </c>
      <c r="AZ10" s="3">
        <v>96.79</v>
      </c>
      <c r="BA10" s="4">
        <v>-3.2000000000000002E-3</v>
      </c>
      <c r="BB10" s="6">
        <f t="shared" si="10"/>
        <v>-3.1925849639545634E-3</v>
      </c>
      <c r="BD10" s="7">
        <v>43952</v>
      </c>
      <c r="BE10" s="3">
        <v>30.29</v>
      </c>
      <c r="BF10" s="4">
        <v>-8.3000000000000004E-2</v>
      </c>
      <c r="BG10" s="6">
        <f t="shared" si="11"/>
        <v>-8.2954889494399095E-2</v>
      </c>
      <c r="BI10" s="7">
        <v>43952</v>
      </c>
      <c r="BJ10" s="23">
        <v>55.48</v>
      </c>
      <c r="BK10" s="4">
        <v>-8.6099999999999996E-2</v>
      </c>
      <c r="BL10" s="6">
        <f t="shared" si="12"/>
        <v>-8.6147257453467407E-2</v>
      </c>
      <c r="BM10" s="22"/>
      <c r="BN10" s="7">
        <v>43952</v>
      </c>
      <c r="BO10" s="23">
        <v>1319.97</v>
      </c>
      <c r="BP10" s="4">
        <v>-4.7E-2</v>
      </c>
      <c r="BQ10" s="6">
        <f t="shared" si="13"/>
        <v>-4.7001234594641339E-2</v>
      </c>
      <c r="BR10" s="22"/>
      <c r="BS10" s="7">
        <v>43952</v>
      </c>
      <c r="BT10" s="23">
        <v>67.25</v>
      </c>
      <c r="BU10" s="4">
        <v>6.3100000000000003E-2</v>
      </c>
      <c r="BV10" s="6">
        <f t="shared" si="14"/>
        <v>6.3073031931710544E-2</v>
      </c>
      <c r="BW10" s="22"/>
      <c r="BX10" s="7">
        <v>43952</v>
      </c>
      <c r="BY10" s="23">
        <v>149.96</v>
      </c>
      <c r="BZ10" s="4">
        <v>-3.73E-2</v>
      </c>
      <c r="CA10" s="6">
        <f t="shared" si="15"/>
        <v>-3.7298581241574147E-2</v>
      </c>
      <c r="CB10" s="22"/>
      <c r="CC10" s="7">
        <v>43952</v>
      </c>
      <c r="CD10" s="23">
        <v>20.21</v>
      </c>
      <c r="CE10" s="4">
        <v>4.1200000000000001E-2</v>
      </c>
      <c r="CF10" s="6">
        <f t="shared" si="16"/>
        <v>4.1215868109222065E-2</v>
      </c>
      <c r="CG10" s="22"/>
      <c r="CH10" s="7">
        <v>43952</v>
      </c>
      <c r="CI10" s="23">
        <v>9.16</v>
      </c>
      <c r="CJ10" s="4">
        <v>-4.3799999999999999E-2</v>
      </c>
      <c r="CK10" s="6">
        <f t="shared" si="17"/>
        <v>-4.3841336116910212E-2</v>
      </c>
      <c r="CL10" s="22"/>
      <c r="CM10" s="7">
        <v>43952</v>
      </c>
      <c r="CN10" s="23">
        <v>47.48</v>
      </c>
      <c r="CO10" s="4">
        <v>-7.6300000000000007E-2</v>
      </c>
      <c r="CP10" s="6">
        <f t="shared" si="18"/>
        <v>-7.6264591439688778E-2</v>
      </c>
      <c r="CQ10" s="22"/>
      <c r="CR10" s="7">
        <v>43952</v>
      </c>
      <c r="CS10" s="23">
        <v>220.08</v>
      </c>
      <c r="CT10" s="4">
        <v>-3.8100000000000002E-2</v>
      </c>
      <c r="CU10" s="6">
        <f t="shared" si="19"/>
        <v>-3.8069845710039685E-2</v>
      </c>
      <c r="CV10" s="22"/>
      <c r="CW10" s="7">
        <v>43952</v>
      </c>
      <c r="CX10" s="23">
        <v>146.38999999999999</v>
      </c>
      <c r="CY10" s="4">
        <v>-2.8000000000000001E-2</v>
      </c>
      <c r="CZ10" s="6">
        <f t="shared" si="20"/>
        <v>-2.7954847277556483E-2</v>
      </c>
      <c r="DA10" s="22"/>
      <c r="DB10" s="7">
        <v>43952</v>
      </c>
      <c r="DC10" s="23">
        <v>49.99</v>
      </c>
      <c r="DD10" s="4">
        <v>3.61E-2</v>
      </c>
      <c r="DE10" s="6">
        <f t="shared" si="21"/>
        <v>3.6062176165803095E-2</v>
      </c>
      <c r="DF10" s="22"/>
      <c r="DG10" s="7">
        <v>43952</v>
      </c>
      <c r="DH10" s="23">
        <v>81.41</v>
      </c>
      <c r="DI10" s="4">
        <v>0.16370000000000001</v>
      </c>
      <c r="DJ10" s="6">
        <f t="shared" si="22"/>
        <v>0.16366495140080062</v>
      </c>
      <c r="DK10" s="22"/>
      <c r="DL10" s="7">
        <v>43952</v>
      </c>
      <c r="DM10" s="23">
        <v>15.2</v>
      </c>
      <c r="DN10" s="4">
        <v>1.7399999999999999E-2</v>
      </c>
      <c r="DO10" s="6">
        <f t="shared" si="23"/>
        <v>1.7402945113788482E-2</v>
      </c>
      <c r="DQ10" s="7">
        <v>43952</v>
      </c>
      <c r="DR10" s="23">
        <v>26.27</v>
      </c>
      <c r="DS10" s="4">
        <v>2.58E-2</v>
      </c>
      <c r="DT10" s="6">
        <f t="shared" si="24"/>
        <v>2.5771183131589229E-2</v>
      </c>
      <c r="DU10" s="24"/>
      <c r="DV10" s="7">
        <v>43952</v>
      </c>
      <c r="DW10" s="23">
        <v>62.94</v>
      </c>
      <c r="DX10" s="4">
        <v>-0.15790000000000001</v>
      </c>
      <c r="DY10" s="6">
        <f t="shared" si="25"/>
        <v>-0.15788065293015785</v>
      </c>
      <c r="DZ10" s="24"/>
      <c r="EA10" s="7">
        <v>43952</v>
      </c>
      <c r="EB10" s="23">
        <v>34.42</v>
      </c>
      <c r="EC10" s="4">
        <v>1.12E-2</v>
      </c>
      <c r="ED10" s="6">
        <f t="shared" si="26"/>
        <v>1.1163337250293847E-2</v>
      </c>
      <c r="EE10" s="24"/>
      <c r="EF10" s="7">
        <v>43952</v>
      </c>
      <c r="EG10" s="23">
        <v>67.069999999999993</v>
      </c>
      <c r="EH10" s="4">
        <v>0.11650000000000001</v>
      </c>
      <c r="EI10" s="6">
        <f t="shared" si="27"/>
        <v>0.11653071416680527</v>
      </c>
      <c r="EJ10" s="24"/>
      <c r="EK10" s="7">
        <v>43952</v>
      </c>
      <c r="EL10" s="23">
        <v>97.6</v>
      </c>
      <c r="EM10" s="4">
        <v>0.1116</v>
      </c>
      <c r="EN10" s="6">
        <f t="shared" si="28"/>
        <v>0.11161731207289291</v>
      </c>
      <c r="EO10" s="24"/>
      <c r="EP10" s="7">
        <v>43952</v>
      </c>
      <c r="EQ10" s="23">
        <v>32.54</v>
      </c>
      <c r="ER10" s="4">
        <v>0.14419999999999999</v>
      </c>
      <c r="ES10" s="6">
        <f t="shared" si="29"/>
        <v>0.14416315049226433</v>
      </c>
      <c r="ET10" s="24"/>
      <c r="EU10" s="7">
        <v>43952</v>
      </c>
      <c r="EV10" s="23">
        <v>210.87</v>
      </c>
      <c r="EW10" s="4">
        <v>0.13320000000000001</v>
      </c>
      <c r="EX10" s="6">
        <f t="shared" si="30"/>
        <v>0.13322226999140149</v>
      </c>
      <c r="EY10" s="24"/>
      <c r="EZ10" s="7">
        <v>43952</v>
      </c>
      <c r="FA10" s="23">
        <v>167.21</v>
      </c>
      <c r="FB10" s="4">
        <v>-1.2999999999999999E-3</v>
      </c>
      <c r="FC10" s="6">
        <f t="shared" si="31"/>
        <v>-1.3139819626112337E-3</v>
      </c>
      <c r="FD10" s="24"/>
      <c r="FE10" s="7">
        <v>43952</v>
      </c>
      <c r="FF10" s="23">
        <v>88.16</v>
      </c>
      <c r="FG10" s="4">
        <v>-0.11269999999999999</v>
      </c>
      <c r="FH10" s="6">
        <f t="shared" si="32"/>
        <v>-0.11272141706924318</v>
      </c>
      <c r="FI10" s="24"/>
      <c r="FJ10" s="7">
        <v>43952</v>
      </c>
      <c r="FK10" s="23">
        <v>14.28</v>
      </c>
      <c r="FL10" s="4">
        <v>-9.9099999999999994E-2</v>
      </c>
      <c r="FM10" s="6">
        <f t="shared" si="33"/>
        <v>-9.905362776025238E-2</v>
      </c>
      <c r="FN10" s="24"/>
      <c r="FO10" s="7">
        <v>43952</v>
      </c>
      <c r="FP10" s="23">
        <v>55.35</v>
      </c>
      <c r="FQ10" s="4">
        <v>-3.6400000000000002E-2</v>
      </c>
      <c r="FR10" s="6">
        <f t="shared" si="34"/>
        <v>-3.6385793871866232E-2</v>
      </c>
    </row>
    <row r="11" spans="1:174">
      <c r="A11" s="7">
        <v>43922</v>
      </c>
      <c r="B11" s="3">
        <v>9.86</v>
      </c>
      <c r="C11" s="4">
        <v>0.54059999999999997</v>
      </c>
      <c r="D11" s="6">
        <f t="shared" si="1"/>
        <v>0.5406249999999998</v>
      </c>
      <c r="F11" s="7">
        <v>43922</v>
      </c>
      <c r="G11" s="3">
        <v>19.87</v>
      </c>
      <c r="H11" s="4">
        <v>0.309</v>
      </c>
      <c r="I11" s="6">
        <f t="shared" si="0"/>
        <v>0.30895915678524383</v>
      </c>
      <c r="K11" s="7">
        <v>43922</v>
      </c>
      <c r="L11" s="3">
        <v>14.6</v>
      </c>
      <c r="M11" s="4">
        <v>3.9100000000000003E-2</v>
      </c>
      <c r="N11" s="6">
        <f t="shared" si="2"/>
        <v>3.9145907473309531E-2</v>
      </c>
      <c r="P11" s="7">
        <v>43922</v>
      </c>
      <c r="Q11" s="3">
        <v>92.83</v>
      </c>
      <c r="R11" s="4">
        <v>-2.9100000000000001E-2</v>
      </c>
      <c r="S11" s="6">
        <f t="shared" si="3"/>
        <v>-2.9076456437611142E-2</v>
      </c>
      <c r="U11" s="7">
        <v>43922</v>
      </c>
      <c r="V11" s="3">
        <v>241.39</v>
      </c>
      <c r="W11" s="4">
        <v>8.0699999999999994E-2</v>
      </c>
      <c r="X11" s="6">
        <f t="shared" si="4"/>
        <v>8.0721704871060049E-2</v>
      </c>
      <c r="Z11" s="7">
        <v>43922</v>
      </c>
      <c r="AA11" s="3">
        <v>19</v>
      </c>
      <c r="AB11" s="4">
        <v>-7.2300000000000003E-2</v>
      </c>
      <c r="AC11" s="6">
        <f t="shared" si="5"/>
        <v>-7.2265625000000014E-2</v>
      </c>
      <c r="AE11" s="7">
        <v>43922</v>
      </c>
      <c r="AF11" s="3">
        <v>36.97</v>
      </c>
      <c r="AG11" s="4">
        <v>0.27529999999999999</v>
      </c>
      <c r="AH11" s="6">
        <f t="shared" si="6"/>
        <v>0.27526733356329774</v>
      </c>
      <c r="AJ11" s="7">
        <v>43922</v>
      </c>
      <c r="AK11" s="3">
        <v>35.590000000000003</v>
      </c>
      <c r="AL11" s="4">
        <v>3.2199999999999999E-2</v>
      </c>
      <c r="AM11" s="6">
        <f t="shared" si="7"/>
        <v>3.2192575406032674E-2</v>
      </c>
      <c r="AO11" s="7">
        <v>43922</v>
      </c>
      <c r="AP11" s="3">
        <v>43.78</v>
      </c>
      <c r="AQ11" s="4">
        <v>0.20810000000000001</v>
      </c>
      <c r="AR11" s="6">
        <f t="shared" si="8"/>
        <v>0.20805739514348781</v>
      </c>
      <c r="AT11" s="7">
        <v>43922</v>
      </c>
      <c r="AU11" s="3">
        <v>5.07</v>
      </c>
      <c r="AV11" s="4">
        <v>2.8400000000000002E-2</v>
      </c>
      <c r="AW11" s="6">
        <f t="shared" si="9"/>
        <v>2.839756592292101E-2</v>
      </c>
      <c r="AY11" s="7">
        <v>43922</v>
      </c>
      <c r="AZ11" s="3">
        <v>97.1</v>
      </c>
      <c r="BA11" s="4">
        <v>1.52E-2</v>
      </c>
      <c r="BB11" s="6">
        <f t="shared" si="10"/>
        <v>1.5159435441714464E-2</v>
      </c>
      <c r="BD11" s="7">
        <v>43922</v>
      </c>
      <c r="BE11" s="3">
        <v>33.03</v>
      </c>
      <c r="BF11" s="4">
        <v>0.20419999999999999</v>
      </c>
      <c r="BG11" s="6">
        <f t="shared" si="11"/>
        <v>0.20415603353991985</v>
      </c>
      <c r="BI11" s="7">
        <v>43922</v>
      </c>
      <c r="BJ11" s="23">
        <v>60.71</v>
      </c>
      <c r="BK11" s="4">
        <v>0.17269999999999999</v>
      </c>
      <c r="BL11" s="6">
        <f t="shared" si="12"/>
        <v>0.17268688429592416</v>
      </c>
      <c r="BM11" s="22"/>
      <c r="BN11" s="7">
        <v>43922</v>
      </c>
      <c r="BO11" s="23">
        <v>1385.07</v>
      </c>
      <c r="BP11" s="4">
        <v>-1.35E-2</v>
      </c>
      <c r="BQ11" s="6">
        <f t="shared" si="13"/>
        <v>-1.3503984957586423E-2</v>
      </c>
      <c r="BR11" s="22"/>
      <c r="BS11" s="7">
        <v>43922</v>
      </c>
      <c r="BT11" s="23">
        <v>63.26</v>
      </c>
      <c r="BU11" s="4">
        <v>-2.6800000000000001E-2</v>
      </c>
      <c r="BV11" s="6">
        <f t="shared" si="14"/>
        <v>-2.6769230769230767E-2</v>
      </c>
      <c r="BW11" s="22"/>
      <c r="BX11" s="7">
        <v>43922</v>
      </c>
      <c r="BY11" s="23">
        <v>155.77000000000001</v>
      </c>
      <c r="BZ11" s="4">
        <v>8.7599999999999997E-2</v>
      </c>
      <c r="CA11" s="6">
        <f t="shared" si="15"/>
        <v>8.7627426337103742E-2</v>
      </c>
      <c r="CB11" s="22"/>
      <c r="CC11" s="7">
        <v>43922</v>
      </c>
      <c r="CD11" s="23">
        <v>19.41</v>
      </c>
      <c r="CE11" s="4">
        <v>2.86E-2</v>
      </c>
      <c r="CF11" s="6">
        <f t="shared" si="16"/>
        <v>2.8616852146263971E-2</v>
      </c>
      <c r="CG11" s="22"/>
      <c r="CH11" s="7">
        <v>43922</v>
      </c>
      <c r="CI11" s="23">
        <v>9.58</v>
      </c>
      <c r="CJ11" s="4">
        <v>5.74E-2</v>
      </c>
      <c r="CK11" s="6">
        <f t="shared" si="17"/>
        <v>5.7395143487858569E-2</v>
      </c>
      <c r="CL11" s="22"/>
      <c r="CM11" s="7">
        <v>43922</v>
      </c>
      <c r="CN11" s="23">
        <v>51.4</v>
      </c>
      <c r="CO11" s="4">
        <v>0.17510000000000001</v>
      </c>
      <c r="CP11" s="6">
        <f t="shared" si="18"/>
        <v>0.17512574302697748</v>
      </c>
      <c r="CQ11" s="22"/>
      <c r="CR11" s="7">
        <v>43922</v>
      </c>
      <c r="CS11" s="23">
        <v>228.79</v>
      </c>
      <c r="CT11" s="4">
        <v>0.25940000000000002</v>
      </c>
      <c r="CU11" s="6">
        <f t="shared" si="19"/>
        <v>0.25937138768096002</v>
      </c>
      <c r="CV11" s="22"/>
      <c r="CW11" s="7">
        <v>43922</v>
      </c>
      <c r="CX11" s="23">
        <v>150.6</v>
      </c>
      <c r="CY11" s="4">
        <v>0.1822</v>
      </c>
      <c r="CZ11" s="6">
        <f t="shared" si="20"/>
        <v>0.18219640474134535</v>
      </c>
      <c r="DA11" s="22"/>
      <c r="DB11" s="7">
        <v>43922</v>
      </c>
      <c r="DC11" s="23">
        <v>48.25</v>
      </c>
      <c r="DD11" s="4">
        <v>3.61E-2</v>
      </c>
      <c r="DE11" s="6">
        <f t="shared" si="21"/>
        <v>3.6074726218595643E-2</v>
      </c>
      <c r="DF11" s="22"/>
      <c r="DG11" s="7">
        <v>43922</v>
      </c>
      <c r="DH11" s="23">
        <v>69.959999999999994</v>
      </c>
      <c r="DI11" s="4">
        <v>1E-4</v>
      </c>
      <c r="DJ11" s="6">
        <f t="shared" si="22"/>
        <v>1.4295925661178543E-4</v>
      </c>
      <c r="DK11" s="22"/>
      <c r="DL11" s="7">
        <v>43922</v>
      </c>
      <c r="DM11" s="23">
        <v>14.94</v>
      </c>
      <c r="DN11" s="4">
        <v>-0.1232</v>
      </c>
      <c r="DO11" s="6">
        <f t="shared" si="23"/>
        <v>-0.12323943661971826</v>
      </c>
      <c r="DQ11" s="7">
        <v>43922</v>
      </c>
      <c r="DR11" s="23">
        <v>25.61</v>
      </c>
      <c r="DS11" s="4">
        <v>-6.1899999999999997E-2</v>
      </c>
      <c r="DT11" s="6">
        <f t="shared" si="24"/>
        <v>-6.1904761904761949E-2</v>
      </c>
      <c r="DU11" s="24"/>
      <c r="DV11" s="7">
        <v>43922</v>
      </c>
      <c r="DW11" s="23">
        <v>74.739999999999995</v>
      </c>
      <c r="DX11" s="4">
        <v>2.8500000000000001E-2</v>
      </c>
      <c r="DY11" s="6">
        <f t="shared" si="25"/>
        <v>2.8484931883858443E-2</v>
      </c>
      <c r="DZ11" s="24"/>
      <c r="EA11" s="7">
        <v>43922</v>
      </c>
      <c r="EB11" s="23">
        <v>34.04</v>
      </c>
      <c r="EC11" s="4">
        <v>-5.2299999999999999E-2</v>
      </c>
      <c r="ED11" s="6">
        <f t="shared" si="26"/>
        <v>-5.2338530066815214E-2</v>
      </c>
      <c r="EE11" s="24"/>
      <c r="EF11" s="7">
        <v>43922</v>
      </c>
      <c r="EG11" s="23">
        <v>60.07</v>
      </c>
      <c r="EH11" s="4">
        <v>-7.4099999999999999E-2</v>
      </c>
      <c r="EI11" s="6">
        <f t="shared" si="27"/>
        <v>-7.4136868064118303E-2</v>
      </c>
      <c r="EJ11" s="24"/>
      <c r="EK11" s="7">
        <v>43922</v>
      </c>
      <c r="EL11" s="23">
        <v>87.8</v>
      </c>
      <c r="EM11" s="4">
        <v>9.5200000000000007E-2</v>
      </c>
      <c r="EN11" s="6">
        <f t="shared" si="28"/>
        <v>9.5172757889484788E-2</v>
      </c>
      <c r="EO11" s="24"/>
      <c r="EP11" s="7">
        <v>43922</v>
      </c>
      <c r="EQ11" s="23">
        <v>28.44</v>
      </c>
      <c r="ER11" s="4">
        <v>9.01E-2</v>
      </c>
      <c r="ES11" s="6">
        <f t="shared" si="29"/>
        <v>9.0072824837102397E-2</v>
      </c>
      <c r="ET11" s="24"/>
      <c r="EU11" s="7">
        <v>43922</v>
      </c>
      <c r="EV11" s="23">
        <v>186.08</v>
      </c>
      <c r="EW11" s="4">
        <v>0.17860000000000001</v>
      </c>
      <c r="EX11" s="6">
        <f t="shared" si="30"/>
        <v>0.17861667088928312</v>
      </c>
      <c r="EY11" s="24"/>
      <c r="EZ11" s="7">
        <v>43922</v>
      </c>
      <c r="FA11" s="23">
        <v>167.43</v>
      </c>
      <c r="FB11" s="4">
        <v>5.1799999999999999E-2</v>
      </c>
      <c r="FC11" s="6">
        <f t="shared" si="31"/>
        <v>5.1762045354607759E-2</v>
      </c>
      <c r="FD11" s="24"/>
      <c r="FE11" s="7">
        <v>43922</v>
      </c>
      <c r="FF11" s="23">
        <v>99.36</v>
      </c>
      <c r="FG11" s="4">
        <v>0.63070000000000004</v>
      </c>
      <c r="FH11" s="6">
        <f t="shared" si="32"/>
        <v>0.63072378138847862</v>
      </c>
      <c r="FI11" s="24"/>
      <c r="FJ11" s="7">
        <v>43922</v>
      </c>
      <c r="FK11" s="23">
        <v>15.85</v>
      </c>
      <c r="FL11" s="4">
        <v>3.7999999999999999E-2</v>
      </c>
      <c r="FM11" s="6">
        <f t="shared" si="33"/>
        <v>3.7982973149967264E-2</v>
      </c>
      <c r="FN11" s="24"/>
      <c r="FO11" s="7">
        <v>43922</v>
      </c>
      <c r="FP11" s="23">
        <v>57.44</v>
      </c>
      <c r="FQ11" s="4">
        <v>3.0300000000000001E-2</v>
      </c>
      <c r="FR11" s="6">
        <f t="shared" si="34"/>
        <v>3.0313901345291439E-2</v>
      </c>
    </row>
    <row r="12" spans="1:174">
      <c r="A12" s="7">
        <v>43891</v>
      </c>
      <c r="B12" s="3">
        <v>6.4</v>
      </c>
      <c r="C12" s="4">
        <v>-0.4909</v>
      </c>
      <c r="D12" s="6">
        <f t="shared" si="1"/>
        <v>-0.49085123309466983</v>
      </c>
      <c r="F12" s="7">
        <v>43891</v>
      </c>
      <c r="G12" s="3">
        <v>15.18</v>
      </c>
      <c r="H12" s="4">
        <v>-0.61970000000000003</v>
      </c>
      <c r="I12" s="6">
        <f t="shared" si="0"/>
        <v>-0.61973947895791581</v>
      </c>
      <c r="K12" s="7">
        <v>43891</v>
      </c>
      <c r="L12" s="3">
        <v>14.05</v>
      </c>
      <c r="M12" s="4">
        <v>-9.4700000000000006E-2</v>
      </c>
      <c r="N12" s="6">
        <f t="shared" si="2"/>
        <v>-9.4716494845360752E-2</v>
      </c>
      <c r="P12" s="7">
        <v>43891</v>
      </c>
      <c r="Q12" s="3">
        <v>95.61</v>
      </c>
      <c r="R12" s="4">
        <v>-0.11459999999999999</v>
      </c>
      <c r="S12" s="6">
        <f t="shared" si="3"/>
        <v>-0.11464024446708025</v>
      </c>
      <c r="U12" s="7">
        <v>43891</v>
      </c>
      <c r="V12" s="3">
        <v>223.36</v>
      </c>
      <c r="W12" s="4">
        <v>-0.3125</v>
      </c>
      <c r="X12" s="6">
        <f t="shared" si="4"/>
        <v>-0.31250577118409301</v>
      </c>
      <c r="Z12" s="7">
        <v>43891</v>
      </c>
      <c r="AA12" s="3">
        <v>20.48</v>
      </c>
      <c r="AB12" s="4">
        <v>-0.33289999999999997</v>
      </c>
      <c r="AC12" s="6">
        <f t="shared" si="5"/>
        <v>-0.3328990228013029</v>
      </c>
      <c r="AE12" s="7">
        <v>43891</v>
      </c>
      <c r="AF12" s="3">
        <v>28.99</v>
      </c>
      <c r="AG12" s="4">
        <v>-3.27E-2</v>
      </c>
      <c r="AH12" s="6">
        <f t="shared" si="6"/>
        <v>-3.2699366032699378E-2</v>
      </c>
      <c r="AJ12" s="7">
        <v>43891</v>
      </c>
      <c r="AK12" s="3">
        <v>34.479999999999997</v>
      </c>
      <c r="AL12" s="4">
        <v>0.1613</v>
      </c>
      <c r="AM12" s="6">
        <f t="shared" si="7"/>
        <v>0.16133378241832252</v>
      </c>
      <c r="AO12" s="7">
        <v>43891</v>
      </c>
      <c r="AP12" s="3">
        <v>36.24</v>
      </c>
      <c r="AQ12" s="4">
        <v>-0.12839999999999999</v>
      </c>
      <c r="AR12" s="6">
        <f t="shared" si="8"/>
        <v>-0.12842712842712833</v>
      </c>
      <c r="AT12" s="7">
        <v>43891</v>
      </c>
      <c r="AU12" s="3">
        <v>4.93</v>
      </c>
      <c r="AV12" s="4">
        <v>-0.22239999999999999</v>
      </c>
      <c r="AW12" s="6">
        <f t="shared" si="9"/>
        <v>-0.22239747634069404</v>
      </c>
      <c r="AY12" s="7">
        <v>43891</v>
      </c>
      <c r="AZ12" s="3">
        <v>95.65</v>
      </c>
      <c r="BA12" s="4">
        <v>-0.12230000000000001</v>
      </c>
      <c r="BB12" s="6">
        <f t="shared" si="10"/>
        <v>-0.12231602128830976</v>
      </c>
      <c r="BD12" s="7">
        <v>43891</v>
      </c>
      <c r="BE12" s="3">
        <v>27.43</v>
      </c>
      <c r="BF12" s="4">
        <v>-0.1217</v>
      </c>
      <c r="BG12" s="6">
        <f t="shared" si="11"/>
        <v>-0.12167787383925714</v>
      </c>
      <c r="BI12" s="7">
        <v>43891</v>
      </c>
      <c r="BJ12" s="23">
        <v>51.77</v>
      </c>
      <c r="BK12" s="4">
        <v>-0.43609999999999999</v>
      </c>
      <c r="BL12" s="6">
        <f t="shared" si="12"/>
        <v>-0.43611806992702318</v>
      </c>
      <c r="BM12" s="22"/>
      <c r="BN12" s="7">
        <v>43891</v>
      </c>
      <c r="BO12" s="23">
        <v>1404.03</v>
      </c>
      <c r="BP12" s="4">
        <v>5.7599999999999998E-2</v>
      </c>
      <c r="BQ12" s="6">
        <f t="shared" si="13"/>
        <v>5.758598351888411E-2</v>
      </c>
      <c r="BR12" s="22"/>
      <c r="BS12" s="7">
        <v>43891</v>
      </c>
      <c r="BT12" s="23">
        <v>65</v>
      </c>
      <c r="BU12" s="4">
        <v>-0.39050000000000001</v>
      </c>
      <c r="BV12" s="6">
        <f t="shared" si="14"/>
        <v>-0.3904726181545386</v>
      </c>
      <c r="BW12" s="22"/>
      <c r="BX12" s="7">
        <v>43891</v>
      </c>
      <c r="BY12" s="23">
        <v>143.22</v>
      </c>
      <c r="BZ12" s="4">
        <v>-0.1004</v>
      </c>
      <c r="CA12" s="6">
        <f t="shared" si="15"/>
        <v>-0.10043338986244588</v>
      </c>
      <c r="CB12" s="22"/>
      <c r="CC12" s="7">
        <v>43891</v>
      </c>
      <c r="CD12" s="23">
        <v>18.87</v>
      </c>
      <c r="CE12" s="4">
        <v>-5.2699999999999997E-2</v>
      </c>
      <c r="CF12" s="6">
        <f t="shared" si="16"/>
        <v>-5.2710843373493965E-2</v>
      </c>
      <c r="CG12" s="22"/>
      <c r="CH12" s="7">
        <v>43891</v>
      </c>
      <c r="CI12" s="23">
        <v>9.06</v>
      </c>
      <c r="CJ12" s="4">
        <v>-0.52039999999999997</v>
      </c>
      <c r="CK12" s="6">
        <f t="shared" si="17"/>
        <v>-0.52038115404976182</v>
      </c>
      <c r="CL12" s="22"/>
      <c r="CM12" s="7">
        <v>43891</v>
      </c>
      <c r="CN12" s="23">
        <v>43.74</v>
      </c>
      <c r="CO12" s="4">
        <v>-5.7700000000000001E-2</v>
      </c>
      <c r="CP12" s="6">
        <f t="shared" si="18"/>
        <v>-5.7733735458853963E-2</v>
      </c>
      <c r="CQ12" s="22"/>
      <c r="CR12" s="7">
        <v>43891</v>
      </c>
      <c r="CS12" s="23">
        <v>181.67</v>
      </c>
      <c r="CT12" s="4">
        <v>-3.9100000000000003E-2</v>
      </c>
      <c r="CU12" s="6">
        <f t="shared" si="19"/>
        <v>-3.9088120173489949E-2</v>
      </c>
      <c r="CV12" s="22"/>
      <c r="CW12" s="7">
        <v>43891</v>
      </c>
      <c r="CX12" s="23">
        <v>127.39</v>
      </c>
      <c r="CY12" s="4">
        <v>-0.40379999999999999</v>
      </c>
      <c r="CZ12" s="6">
        <f t="shared" si="20"/>
        <v>-0.40377234859121969</v>
      </c>
      <c r="DA12" s="22"/>
      <c r="DB12" s="7">
        <v>43891</v>
      </c>
      <c r="DC12" s="23">
        <v>46.57</v>
      </c>
      <c r="DD12" s="4">
        <v>-0.1381</v>
      </c>
      <c r="DE12" s="6">
        <f t="shared" si="21"/>
        <v>-0.13807144179159725</v>
      </c>
      <c r="DF12" s="22"/>
      <c r="DG12" s="7">
        <v>43891</v>
      </c>
      <c r="DH12" s="23">
        <v>69.95</v>
      </c>
      <c r="DI12" s="4">
        <v>-0.28610000000000002</v>
      </c>
      <c r="DJ12" s="6">
        <f t="shared" si="22"/>
        <v>-0.2860787915901204</v>
      </c>
      <c r="DK12" s="22"/>
      <c r="DL12" s="7">
        <v>43891</v>
      </c>
      <c r="DM12" s="23">
        <v>17.04</v>
      </c>
      <c r="DN12" s="4">
        <v>-0.19320000000000001</v>
      </c>
      <c r="DO12" s="6">
        <f t="shared" si="23"/>
        <v>-0.19318181818181823</v>
      </c>
      <c r="DQ12" s="7">
        <v>43891</v>
      </c>
      <c r="DR12" s="23">
        <v>27.3</v>
      </c>
      <c r="DS12" s="4">
        <v>-0.25879999999999997</v>
      </c>
      <c r="DT12" s="6">
        <f t="shared" si="24"/>
        <v>-0.25875644854737978</v>
      </c>
      <c r="DU12" s="24"/>
      <c r="DV12" s="7">
        <v>43891</v>
      </c>
      <c r="DW12" s="23">
        <v>72.67</v>
      </c>
      <c r="DX12" s="4">
        <v>-0.1512</v>
      </c>
      <c r="DY12" s="6">
        <f t="shared" si="25"/>
        <v>-0.15124970801214671</v>
      </c>
      <c r="DZ12" s="24"/>
      <c r="EA12" s="7">
        <v>43891</v>
      </c>
      <c r="EB12" s="23">
        <v>35.92</v>
      </c>
      <c r="EC12" s="4">
        <v>-3.6200000000000003E-2</v>
      </c>
      <c r="ED12" s="6">
        <f t="shared" si="26"/>
        <v>-3.6222162597263248E-2</v>
      </c>
      <c r="EE12" s="24"/>
      <c r="EF12" s="7">
        <v>43891</v>
      </c>
      <c r="EG12" s="23">
        <v>64.88</v>
      </c>
      <c r="EH12" s="4">
        <v>-1.55E-2</v>
      </c>
      <c r="EI12" s="6">
        <f t="shared" si="27"/>
        <v>-1.5477996965098788E-2</v>
      </c>
      <c r="EJ12" s="24"/>
      <c r="EK12" s="7">
        <v>43891</v>
      </c>
      <c r="EL12" s="23">
        <v>80.17</v>
      </c>
      <c r="EM12" s="4">
        <v>-0.37980000000000003</v>
      </c>
      <c r="EN12" s="6">
        <f t="shared" si="28"/>
        <v>-0.37982517212036826</v>
      </c>
      <c r="EO12" s="24"/>
      <c r="EP12" s="7">
        <v>43891</v>
      </c>
      <c r="EQ12" s="23">
        <v>26.09</v>
      </c>
      <c r="ER12" s="4">
        <v>-0.32219999999999999</v>
      </c>
      <c r="ES12" s="6">
        <f t="shared" si="29"/>
        <v>-0.32216160041569242</v>
      </c>
      <c r="ET12" s="24"/>
      <c r="EU12" s="7">
        <v>43891</v>
      </c>
      <c r="EV12" s="23">
        <v>157.88</v>
      </c>
      <c r="EW12" s="4">
        <v>-0.11020000000000001</v>
      </c>
      <c r="EX12" s="6">
        <f t="shared" si="30"/>
        <v>-0.11023444544634807</v>
      </c>
      <c r="EY12" s="24"/>
      <c r="EZ12" s="7">
        <v>43891</v>
      </c>
      <c r="FA12" s="23">
        <v>159.19</v>
      </c>
      <c r="FB12" s="4">
        <v>-0.1714</v>
      </c>
      <c r="FC12" s="6">
        <f t="shared" si="31"/>
        <v>-0.17144641648883568</v>
      </c>
      <c r="FD12" s="24"/>
      <c r="FE12" s="7">
        <v>43891</v>
      </c>
      <c r="FF12" s="23">
        <v>60.93</v>
      </c>
      <c r="FG12" s="4">
        <v>-0.27700000000000002</v>
      </c>
      <c r="FH12" s="6">
        <f t="shared" si="32"/>
        <v>-0.27696689213243142</v>
      </c>
      <c r="FI12" s="24"/>
      <c r="FJ12" s="7">
        <v>43891</v>
      </c>
      <c r="FK12" s="23">
        <v>15.27</v>
      </c>
      <c r="FL12" s="4">
        <v>2.9700000000000001E-2</v>
      </c>
      <c r="FM12" s="6">
        <f t="shared" si="33"/>
        <v>2.9669588671611565E-2</v>
      </c>
      <c r="FN12" s="24"/>
      <c r="FO12" s="7">
        <v>43891</v>
      </c>
      <c r="FP12" s="23">
        <v>55.75</v>
      </c>
      <c r="FQ12" s="4">
        <v>0.01</v>
      </c>
      <c r="FR12" s="6">
        <f t="shared" si="34"/>
        <v>9.9637681159419778E-3</v>
      </c>
    </row>
    <row r="13" spans="1:174">
      <c r="A13" s="7">
        <v>43862</v>
      </c>
      <c r="B13" s="3">
        <v>12.57</v>
      </c>
      <c r="C13" s="4">
        <v>-0.111</v>
      </c>
      <c r="D13" s="6">
        <f t="shared" si="1"/>
        <v>-0.11103253182461105</v>
      </c>
      <c r="F13" s="7">
        <v>43862</v>
      </c>
      <c r="G13" s="3">
        <v>39.92</v>
      </c>
      <c r="H13" s="4">
        <v>-0.12759999999999999</v>
      </c>
      <c r="I13" s="6">
        <f t="shared" si="0"/>
        <v>-0.12762237762237755</v>
      </c>
      <c r="K13" s="7">
        <v>43862</v>
      </c>
      <c r="L13" s="3">
        <v>15.52</v>
      </c>
      <c r="M13" s="4">
        <v>-1.0800000000000001E-2</v>
      </c>
      <c r="N13" s="6">
        <f t="shared" si="2"/>
        <v>-1.083492670490758E-2</v>
      </c>
      <c r="P13" s="7">
        <v>43862</v>
      </c>
      <c r="Q13" s="3">
        <v>107.99</v>
      </c>
      <c r="R13" s="4">
        <v>9.1999999999999998E-3</v>
      </c>
      <c r="S13" s="6">
        <f t="shared" si="3"/>
        <v>9.1580226147088099E-3</v>
      </c>
      <c r="U13" s="7">
        <v>43862</v>
      </c>
      <c r="V13" s="3">
        <v>324.89</v>
      </c>
      <c r="W13" s="4">
        <v>-0.1052</v>
      </c>
      <c r="X13" s="6">
        <f t="shared" si="4"/>
        <v>-0.10515878480733745</v>
      </c>
      <c r="Z13" s="7">
        <v>43862</v>
      </c>
      <c r="AA13" s="3">
        <v>30.7</v>
      </c>
      <c r="AB13" s="4">
        <v>-1.4800000000000001E-2</v>
      </c>
      <c r="AC13" s="6">
        <f t="shared" si="5"/>
        <v>-1.4762516046213122E-2</v>
      </c>
      <c r="AE13" s="7">
        <v>43862</v>
      </c>
      <c r="AF13" s="3">
        <v>29.97</v>
      </c>
      <c r="AG13" s="4">
        <v>-0.1447</v>
      </c>
      <c r="AH13" s="6">
        <f t="shared" si="6"/>
        <v>-0.14469178082191783</v>
      </c>
      <c r="AJ13" s="7">
        <v>43862</v>
      </c>
      <c r="AK13" s="3">
        <v>29.69</v>
      </c>
      <c r="AL13" s="4">
        <v>-0.12189999999999999</v>
      </c>
      <c r="AM13" s="6">
        <f t="shared" si="7"/>
        <v>-0.12185743862762498</v>
      </c>
      <c r="AO13" s="7">
        <v>43862</v>
      </c>
      <c r="AP13" s="3">
        <v>41.58</v>
      </c>
      <c r="AQ13" s="4">
        <v>-4.4600000000000001E-2</v>
      </c>
      <c r="AR13" s="6">
        <f t="shared" si="8"/>
        <v>-4.4577205882353046E-2</v>
      </c>
      <c r="AT13" s="7">
        <v>43862</v>
      </c>
      <c r="AU13" s="3">
        <v>6.34</v>
      </c>
      <c r="AV13" s="4">
        <v>-0.1658</v>
      </c>
      <c r="AW13" s="6">
        <f t="shared" si="9"/>
        <v>-0.16578947368421051</v>
      </c>
      <c r="AY13" s="7">
        <v>43862</v>
      </c>
      <c r="AZ13" s="3">
        <v>108.98</v>
      </c>
      <c r="BA13" s="4">
        <v>-5.1900000000000002E-2</v>
      </c>
      <c r="BB13" s="6">
        <f t="shared" si="10"/>
        <v>-5.1853140769096868E-2</v>
      </c>
      <c r="BD13" s="7">
        <v>43862</v>
      </c>
      <c r="BE13" s="3">
        <v>31.23</v>
      </c>
      <c r="BF13" s="4">
        <v>-9.7900000000000001E-2</v>
      </c>
      <c r="BG13" s="6">
        <f t="shared" si="11"/>
        <v>-9.7920277296360408E-2</v>
      </c>
      <c r="BI13" s="7">
        <v>43862</v>
      </c>
      <c r="BJ13" s="23">
        <v>91.81</v>
      </c>
      <c r="BK13" s="4">
        <v>-8.0399999999999999E-2</v>
      </c>
      <c r="BL13" s="6">
        <f t="shared" si="12"/>
        <v>-8.0428685897435903E-2</v>
      </c>
      <c r="BM13" s="22"/>
      <c r="BN13" s="7">
        <v>43862</v>
      </c>
      <c r="BO13" s="23">
        <v>1327.58</v>
      </c>
      <c r="BP13" s="4">
        <v>-4.02E-2</v>
      </c>
      <c r="BQ13" s="6">
        <f t="shared" si="13"/>
        <v>-4.0169469468022134E-2</v>
      </c>
      <c r="BR13" s="22"/>
      <c r="BS13" s="7">
        <v>43862</v>
      </c>
      <c r="BT13" s="23">
        <v>106.64</v>
      </c>
      <c r="BU13" s="4">
        <v>-8.14E-2</v>
      </c>
      <c r="BV13" s="6">
        <f t="shared" si="14"/>
        <v>-8.1402360237746607E-2</v>
      </c>
      <c r="BW13" s="22"/>
      <c r="BX13" s="7">
        <v>43862</v>
      </c>
      <c r="BY13" s="23">
        <v>159.21</v>
      </c>
      <c r="BZ13" s="4">
        <v>-6.5500000000000003E-2</v>
      </c>
      <c r="CA13" s="6">
        <f t="shared" si="15"/>
        <v>-6.5504490227152656E-2</v>
      </c>
      <c r="CB13" s="22"/>
      <c r="CC13" s="7">
        <v>43862</v>
      </c>
      <c r="CD13" s="23">
        <v>19.920000000000002</v>
      </c>
      <c r="CE13" s="4">
        <v>-0.1099</v>
      </c>
      <c r="CF13" s="6">
        <f t="shared" si="16"/>
        <v>-0.10991957104557626</v>
      </c>
      <c r="CG13" s="22"/>
      <c r="CH13" s="7">
        <v>43862</v>
      </c>
      <c r="CI13" s="23">
        <v>18.89</v>
      </c>
      <c r="CJ13" s="4">
        <v>-0.1123</v>
      </c>
      <c r="CK13" s="6">
        <f t="shared" si="17"/>
        <v>-0.11231203007518797</v>
      </c>
      <c r="CL13" s="22"/>
      <c r="CM13" s="7">
        <v>43862</v>
      </c>
      <c r="CN13" s="23">
        <v>46.42</v>
      </c>
      <c r="CO13" s="4">
        <v>-8.0100000000000005E-2</v>
      </c>
      <c r="CP13" s="6">
        <f t="shared" si="18"/>
        <v>-8.0063416567578316E-2</v>
      </c>
      <c r="CQ13" s="22"/>
      <c r="CR13" s="7">
        <v>43862</v>
      </c>
      <c r="CS13" s="23">
        <v>189.06</v>
      </c>
      <c r="CT13" s="4">
        <v>-5.8500000000000003E-2</v>
      </c>
      <c r="CU13" s="6">
        <f t="shared" si="19"/>
        <v>-5.8466135458167368E-2</v>
      </c>
      <c r="CV13" s="22"/>
      <c r="CW13" s="7">
        <v>43862</v>
      </c>
      <c r="CX13" s="23">
        <v>213.66</v>
      </c>
      <c r="CY13" s="4">
        <v>-8.5099999999999995E-2</v>
      </c>
      <c r="CZ13" s="6">
        <f t="shared" si="20"/>
        <v>-8.5124603922240305E-2</v>
      </c>
      <c r="DA13" s="22"/>
      <c r="DB13" s="7">
        <v>43862</v>
      </c>
      <c r="DC13" s="23">
        <v>54.03</v>
      </c>
      <c r="DD13" s="4">
        <v>-0.20699999999999999</v>
      </c>
      <c r="DE13" s="6">
        <f t="shared" si="21"/>
        <v>-0.20695728753852927</v>
      </c>
      <c r="DF13" s="22"/>
      <c r="DG13" s="7">
        <v>43862</v>
      </c>
      <c r="DH13" s="23">
        <v>97.98</v>
      </c>
      <c r="DI13" s="4">
        <v>5.9999999999999995E-4</v>
      </c>
      <c r="DJ13" s="6">
        <f t="shared" si="22"/>
        <v>6.1274509803932453E-4</v>
      </c>
      <c r="DK13" s="22"/>
      <c r="DL13" s="7">
        <v>43862</v>
      </c>
      <c r="DM13" s="23">
        <v>21.12</v>
      </c>
      <c r="DN13" s="4">
        <v>-1.72E-2</v>
      </c>
      <c r="DO13" s="6">
        <f t="shared" si="23"/>
        <v>-1.7217310376919426E-2</v>
      </c>
      <c r="DQ13" s="7">
        <v>43862</v>
      </c>
      <c r="DR13" s="23">
        <v>36.83</v>
      </c>
      <c r="DS13" s="4">
        <v>-0.1195</v>
      </c>
      <c r="DT13" s="6">
        <f t="shared" si="24"/>
        <v>-0.11953143676786995</v>
      </c>
      <c r="DU13" s="24"/>
      <c r="DV13" s="7">
        <v>43862</v>
      </c>
      <c r="DW13" s="23">
        <v>85.62</v>
      </c>
      <c r="DX13" s="4">
        <v>-3.5400000000000001E-2</v>
      </c>
      <c r="DY13" s="6">
        <f t="shared" si="25"/>
        <v>-3.5376295628661562E-2</v>
      </c>
      <c r="DZ13" s="24"/>
      <c r="EA13" s="7">
        <v>43862</v>
      </c>
      <c r="EB13" s="23">
        <v>37.270000000000003</v>
      </c>
      <c r="EC13" s="4">
        <v>-4.36E-2</v>
      </c>
      <c r="ED13" s="6">
        <f t="shared" si="26"/>
        <v>-4.3623299974339128E-2</v>
      </c>
      <c r="EE13" s="24"/>
      <c r="EF13" s="7">
        <v>43862</v>
      </c>
      <c r="EG13" s="23">
        <v>65.900000000000006</v>
      </c>
      <c r="EH13" s="4">
        <v>-6.2700000000000006E-2</v>
      </c>
      <c r="EI13" s="6">
        <f t="shared" si="27"/>
        <v>-6.2722230123737677E-2</v>
      </c>
      <c r="EJ13" s="24"/>
      <c r="EK13" s="7">
        <v>43862</v>
      </c>
      <c r="EL13" s="23">
        <v>129.27000000000001</v>
      </c>
      <c r="EM13" s="4">
        <v>-0.10150000000000001</v>
      </c>
      <c r="EN13" s="6">
        <f t="shared" si="28"/>
        <v>-0.10148050323208448</v>
      </c>
      <c r="EO13" s="24"/>
      <c r="EP13" s="7">
        <v>43862</v>
      </c>
      <c r="EQ13" s="23">
        <v>38.49</v>
      </c>
      <c r="ER13" s="4">
        <v>-0.12939999999999999</v>
      </c>
      <c r="ES13" s="6">
        <f t="shared" si="29"/>
        <v>-0.12938249264872198</v>
      </c>
      <c r="ET13" s="24"/>
      <c r="EU13" s="7">
        <v>43862</v>
      </c>
      <c r="EV13" s="23">
        <v>177.44</v>
      </c>
      <c r="EW13" s="4">
        <v>-0.10100000000000001</v>
      </c>
      <c r="EX13" s="6">
        <f t="shared" si="30"/>
        <v>-0.10097785884379595</v>
      </c>
      <c r="EY13" s="24"/>
      <c r="EZ13" s="7">
        <v>43862</v>
      </c>
      <c r="FA13" s="23">
        <v>192.13</v>
      </c>
      <c r="FB13" s="4">
        <v>-5.7500000000000002E-2</v>
      </c>
      <c r="FC13" s="6">
        <f t="shared" si="31"/>
        <v>-5.7539487883841937E-2</v>
      </c>
      <c r="FD13" s="24"/>
      <c r="FE13" s="7">
        <v>43862</v>
      </c>
      <c r="FF13" s="23">
        <v>84.27</v>
      </c>
      <c r="FG13" s="4">
        <v>-7.7000000000000002E-3</v>
      </c>
      <c r="FH13" s="6">
        <f t="shared" si="32"/>
        <v>-7.6542628356100527E-3</v>
      </c>
      <c r="FI13" s="24"/>
      <c r="FJ13" s="7">
        <v>43862</v>
      </c>
      <c r="FK13" s="23">
        <v>14.83</v>
      </c>
      <c r="FL13" s="4">
        <v>6.6900000000000001E-2</v>
      </c>
      <c r="FM13" s="6">
        <f t="shared" si="33"/>
        <v>6.6906474820143863E-2</v>
      </c>
      <c r="FN13" s="24"/>
      <c r="FO13" s="7">
        <v>43862</v>
      </c>
      <c r="FP13" s="23">
        <v>55.2</v>
      </c>
      <c r="FQ13" s="4">
        <v>6.4000000000000003E-3</v>
      </c>
      <c r="FR13" s="6">
        <f t="shared" si="34"/>
        <v>6.3810391978122412E-3</v>
      </c>
    </row>
    <row r="14" spans="1:174">
      <c r="A14" s="7">
        <v>43831</v>
      </c>
      <c r="B14" s="3">
        <v>14.14</v>
      </c>
      <c r="C14" s="4">
        <v>-9.8199999999999996E-2</v>
      </c>
      <c r="D14" s="6">
        <f t="shared" si="1"/>
        <v>-9.8214285714285657E-2</v>
      </c>
      <c r="F14" s="7">
        <v>43831</v>
      </c>
      <c r="G14" s="3">
        <v>45.76</v>
      </c>
      <c r="H14" s="4">
        <v>-8.1699999999999995E-2</v>
      </c>
      <c r="I14" s="6">
        <f t="shared" si="0"/>
        <v>-8.16777041942605E-2</v>
      </c>
      <c r="K14" s="7">
        <v>43831</v>
      </c>
      <c r="L14" s="3">
        <v>15.69</v>
      </c>
      <c r="M14" s="4">
        <v>3.9100000000000003E-2</v>
      </c>
      <c r="N14" s="6">
        <f t="shared" si="2"/>
        <v>3.9072847682119195E-2</v>
      </c>
      <c r="P14" s="7">
        <v>43831</v>
      </c>
      <c r="Q14" s="3">
        <v>107.01</v>
      </c>
      <c r="R14" s="4">
        <v>7.0300000000000001E-2</v>
      </c>
      <c r="S14" s="6">
        <f t="shared" si="3"/>
        <v>7.0314062812562528E-2</v>
      </c>
      <c r="U14" s="7">
        <v>43831</v>
      </c>
      <c r="V14" s="3">
        <v>363.07</v>
      </c>
      <c r="W14" s="4">
        <v>2.5499999999999998E-2</v>
      </c>
      <c r="X14" s="6">
        <f t="shared" si="4"/>
        <v>2.550559258840801E-2</v>
      </c>
      <c r="Z14" s="7">
        <v>43831</v>
      </c>
      <c r="AA14" s="3">
        <v>31.16</v>
      </c>
      <c r="AB14" s="4">
        <v>-1.61E-2</v>
      </c>
      <c r="AC14" s="6">
        <f t="shared" si="5"/>
        <v>-1.6103568045468947E-2</v>
      </c>
      <c r="AE14" s="7">
        <v>43831</v>
      </c>
      <c r="AF14" s="3">
        <v>35.04</v>
      </c>
      <c r="AG14" s="4">
        <v>-3.3999999999999998E-3</v>
      </c>
      <c r="AH14" s="6">
        <f t="shared" si="6"/>
        <v>-3.4129692832763781E-3</v>
      </c>
      <c r="AJ14" s="7">
        <v>43831</v>
      </c>
      <c r="AK14" s="3">
        <v>33.81</v>
      </c>
      <c r="AL14" s="4">
        <v>-1.7999999999999999E-2</v>
      </c>
      <c r="AM14" s="6">
        <f t="shared" si="7"/>
        <v>-1.8007551553877357E-2</v>
      </c>
      <c r="AO14" s="7">
        <v>43831</v>
      </c>
      <c r="AP14" s="3">
        <v>43.52</v>
      </c>
      <c r="AQ14" s="4">
        <v>5.2699999999999997E-2</v>
      </c>
      <c r="AR14" s="6">
        <f t="shared" si="8"/>
        <v>5.2733430091920649E-2</v>
      </c>
      <c r="AT14" s="7">
        <v>43831</v>
      </c>
      <c r="AU14" s="3">
        <v>7.6</v>
      </c>
      <c r="AV14" s="4">
        <v>7.3400000000000007E-2</v>
      </c>
      <c r="AW14" s="6">
        <f t="shared" si="9"/>
        <v>7.3446327683615753E-2</v>
      </c>
      <c r="AY14" s="7">
        <v>43831</v>
      </c>
      <c r="AZ14" s="3">
        <v>114.94</v>
      </c>
      <c r="BA14" s="4">
        <v>5.0000000000000001E-4</v>
      </c>
      <c r="BB14" s="6">
        <f t="shared" si="10"/>
        <v>5.2228412256269386E-4</v>
      </c>
      <c r="BD14" s="7">
        <v>43831</v>
      </c>
      <c r="BE14" s="3">
        <v>34.619999999999997</v>
      </c>
      <c r="BF14" s="4">
        <v>1.8200000000000001E-2</v>
      </c>
      <c r="BG14" s="6">
        <f t="shared" si="11"/>
        <v>1.8235294117646985E-2</v>
      </c>
      <c r="BI14" s="7">
        <v>43831</v>
      </c>
      <c r="BJ14" s="23">
        <v>99.84</v>
      </c>
      <c r="BK14" s="4">
        <v>6.3E-2</v>
      </c>
      <c r="BL14" s="6">
        <f t="shared" si="12"/>
        <v>6.3032367972742698E-2</v>
      </c>
      <c r="BM14" s="22"/>
      <c r="BN14" s="7">
        <v>43831</v>
      </c>
      <c r="BO14" s="23">
        <v>1383.14</v>
      </c>
      <c r="BP14" s="4">
        <v>-3.8E-3</v>
      </c>
      <c r="BQ14" s="6">
        <f t="shared" si="13"/>
        <v>-3.7526560305397583E-3</v>
      </c>
      <c r="BR14" s="22"/>
      <c r="BS14" s="7">
        <v>43831</v>
      </c>
      <c r="BT14" s="23">
        <v>116.09</v>
      </c>
      <c r="BU14" s="4">
        <v>9.8799999999999999E-2</v>
      </c>
      <c r="BV14" s="6">
        <f t="shared" si="14"/>
        <v>9.8816848083293829E-2</v>
      </c>
      <c r="BW14" s="22"/>
      <c r="BX14" s="7">
        <v>43831</v>
      </c>
      <c r="BY14" s="23">
        <v>170.37</v>
      </c>
      <c r="BZ14" s="4">
        <v>-4.65E-2</v>
      </c>
      <c r="CA14" s="6">
        <f t="shared" si="15"/>
        <v>-4.6454357194828377E-2</v>
      </c>
      <c r="CB14" s="22"/>
      <c r="CC14" s="7">
        <v>43831</v>
      </c>
      <c r="CD14" s="23">
        <v>22.38</v>
      </c>
      <c r="CE14" s="4">
        <v>0.19620000000000001</v>
      </c>
      <c r="CF14" s="6">
        <f t="shared" si="16"/>
        <v>0.19615179048637077</v>
      </c>
      <c r="CG14" s="22"/>
      <c r="CH14" s="7">
        <v>43831</v>
      </c>
      <c r="CI14" s="23">
        <v>21.28</v>
      </c>
      <c r="CJ14" s="4">
        <v>9.2999999999999999E-2</v>
      </c>
      <c r="CK14" s="6">
        <f t="shared" si="17"/>
        <v>9.2963533641499785E-2</v>
      </c>
      <c r="CL14" s="22"/>
      <c r="CM14" s="7">
        <v>43831</v>
      </c>
      <c r="CN14" s="23">
        <v>50.46</v>
      </c>
      <c r="CO14" s="4">
        <v>-2.7E-2</v>
      </c>
      <c r="CP14" s="6">
        <f t="shared" si="18"/>
        <v>-2.6995757809487042E-2</v>
      </c>
      <c r="CQ14" s="22"/>
      <c r="CR14" s="7">
        <v>43831</v>
      </c>
      <c r="CS14" s="23">
        <v>200.8</v>
      </c>
      <c r="CT14" s="4">
        <v>3.44E-2</v>
      </c>
      <c r="CU14" s="6">
        <f t="shared" si="19"/>
        <v>3.4358419615721614E-2</v>
      </c>
      <c r="CV14" s="22"/>
      <c r="CW14" s="7">
        <v>43831</v>
      </c>
      <c r="CX14" s="23">
        <v>233.54</v>
      </c>
      <c r="CY14" s="4">
        <v>3.95E-2</v>
      </c>
      <c r="CZ14" s="6">
        <f t="shared" si="20"/>
        <v>3.9480126407620109E-2</v>
      </c>
      <c r="DA14" s="22"/>
      <c r="DB14" s="7">
        <v>43831</v>
      </c>
      <c r="DC14" s="23">
        <v>68.13</v>
      </c>
      <c r="DD14" s="4">
        <v>-2.4199999999999999E-2</v>
      </c>
      <c r="DE14" s="6">
        <f t="shared" si="21"/>
        <v>-2.4205098825551441E-2</v>
      </c>
      <c r="DF14" s="22"/>
      <c r="DG14" s="7">
        <v>43831</v>
      </c>
      <c r="DH14" s="23">
        <v>97.92</v>
      </c>
      <c r="DI14" s="4">
        <v>-2.9100000000000001E-2</v>
      </c>
      <c r="DJ14" s="6">
        <f t="shared" si="22"/>
        <v>-2.9149315883402749E-2</v>
      </c>
      <c r="DK14" s="22"/>
      <c r="DL14" s="7">
        <v>43831</v>
      </c>
      <c r="DM14" s="23">
        <v>21.49</v>
      </c>
      <c r="DN14" s="4">
        <v>-7.3300000000000004E-2</v>
      </c>
      <c r="DO14" s="6">
        <f t="shared" si="23"/>
        <v>-7.3307460112117417E-2</v>
      </c>
      <c r="DQ14" s="7">
        <v>43831</v>
      </c>
      <c r="DR14" s="23">
        <v>41.83</v>
      </c>
      <c r="DS14" s="4">
        <v>-5.7200000000000001E-2</v>
      </c>
      <c r="DT14" s="6">
        <f t="shared" si="24"/>
        <v>-5.7245886860491306E-2</v>
      </c>
      <c r="DU14" s="24"/>
      <c r="DV14" s="7">
        <v>43831</v>
      </c>
      <c r="DW14" s="23">
        <v>88.76</v>
      </c>
      <c r="DX14" s="4">
        <v>-1.9E-3</v>
      </c>
      <c r="DY14" s="6">
        <f t="shared" si="25"/>
        <v>-1.911615877656603E-3</v>
      </c>
      <c r="DZ14" s="24"/>
      <c r="EA14" s="7">
        <v>43831</v>
      </c>
      <c r="EB14" s="23">
        <v>38.97</v>
      </c>
      <c r="EC14" s="4">
        <v>3.9199999999999999E-2</v>
      </c>
      <c r="ED14" s="6">
        <f t="shared" si="26"/>
        <v>3.9199999999999971E-2</v>
      </c>
      <c r="EE14" s="24"/>
      <c r="EF14" s="7">
        <v>43831</v>
      </c>
      <c r="EG14" s="23">
        <v>70.31</v>
      </c>
      <c r="EH14" s="4">
        <v>-9.2100000000000001E-2</v>
      </c>
      <c r="EI14" s="6">
        <f t="shared" si="27"/>
        <v>-9.2071280991735477E-2</v>
      </c>
      <c r="EJ14" s="24"/>
      <c r="EK14" s="7">
        <v>43831</v>
      </c>
      <c r="EL14" s="23">
        <v>143.87</v>
      </c>
      <c r="EM14" s="4">
        <v>1.44E-2</v>
      </c>
      <c r="EN14" s="6">
        <f t="shared" si="28"/>
        <v>1.4383416766551449E-2</v>
      </c>
      <c r="EO14" s="24"/>
      <c r="EP14" s="7">
        <v>43831</v>
      </c>
      <c r="EQ14" s="23">
        <v>44.21</v>
      </c>
      <c r="ER14" s="4">
        <v>9.6500000000000002E-2</v>
      </c>
      <c r="ES14" s="6">
        <f t="shared" si="29"/>
        <v>9.6478174603174621E-2</v>
      </c>
      <c r="ET14" s="24"/>
      <c r="EU14" s="7">
        <v>43831</v>
      </c>
      <c r="EV14" s="23">
        <v>197.37</v>
      </c>
      <c r="EW14" s="4">
        <v>-4.1999999999999997E-3</v>
      </c>
      <c r="EX14" s="6">
        <f t="shared" si="30"/>
        <v>-4.237929468745287E-3</v>
      </c>
      <c r="EY14" s="24"/>
      <c r="EZ14" s="7">
        <v>43831</v>
      </c>
      <c r="FA14" s="23">
        <v>203.86</v>
      </c>
      <c r="FB14" s="4">
        <v>5.33E-2</v>
      </c>
      <c r="FC14" s="6">
        <f t="shared" si="31"/>
        <v>5.33223106334609E-2</v>
      </c>
      <c r="FD14" s="24"/>
      <c r="FE14" s="7">
        <v>43831</v>
      </c>
      <c r="FF14" s="23">
        <v>84.92</v>
      </c>
      <c r="FG14" s="4">
        <v>6.9500000000000006E-2</v>
      </c>
      <c r="FH14" s="6">
        <f t="shared" si="32"/>
        <v>6.9521410579345036E-2</v>
      </c>
      <c r="FI14" s="24"/>
      <c r="FJ14" s="7">
        <v>43831</v>
      </c>
      <c r="FK14" s="23">
        <v>13.9</v>
      </c>
      <c r="FL14" s="4">
        <v>-7.1000000000000004E-3</v>
      </c>
      <c r="FM14" s="6">
        <f t="shared" si="33"/>
        <v>-7.1428571428571175E-3</v>
      </c>
      <c r="FN14" s="24"/>
      <c r="FO14" s="7">
        <v>43831</v>
      </c>
      <c r="FP14" s="23">
        <v>54.85</v>
      </c>
      <c r="FQ14" s="4">
        <v>1.29E-2</v>
      </c>
      <c r="FR14" s="6">
        <f t="shared" si="34"/>
        <v>1.2927054478301069E-2</v>
      </c>
    </row>
    <row r="15" spans="1:174">
      <c r="A15" s="7">
        <v>43800</v>
      </c>
      <c r="B15" s="3">
        <v>15.68</v>
      </c>
      <c r="C15" s="4">
        <v>2.0799999999999999E-2</v>
      </c>
      <c r="D15" s="6">
        <f t="shared" si="1"/>
        <v>2.0833333333333353E-2</v>
      </c>
      <c r="F15" s="7">
        <v>43800</v>
      </c>
      <c r="G15" s="3">
        <v>49.83</v>
      </c>
      <c r="H15" s="4">
        <v>-5.9499999999999997E-2</v>
      </c>
      <c r="I15" s="6">
        <f t="shared" si="0"/>
        <v>-5.9456398640996576E-2</v>
      </c>
      <c r="K15" s="7">
        <v>43800</v>
      </c>
      <c r="L15" s="3">
        <v>15.1</v>
      </c>
      <c r="M15" s="4">
        <v>6.7000000000000002E-3</v>
      </c>
      <c r="N15" s="6">
        <f t="shared" si="2"/>
        <v>6.6666666666666428E-3</v>
      </c>
      <c r="P15" s="7">
        <v>43800</v>
      </c>
      <c r="Q15" s="3">
        <v>99.98</v>
      </c>
      <c r="R15" s="4">
        <v>-3.4099999999999998E-2</v>
      </c>
      <c r="S15" s="6">
        <f t="shared" si="3"/>
        <v>-3.4102985218819444E-2</v>
      </c>
      <c r="U15" s="7">
        <v>43800</v>
      </c>
      <c r="V15" s="3">
        <v>354.04</v>
      </c>
      <c r="W15" s="4">
        <v>6.0999999999999999E-2</v>
      </c>
      <c r="X15" s="6">
        <f t="shared" si="4"/>
        <v>6.1048341175412843E-2</v>
      </c>
      <c r="Z15" s="7">
        <v>43800</v>
      </c>
      <c r="AA15" s="3">
        <v>31.67</v>
      </c>
      <c r="AB15" s="4">
        <v>4.4900000000000002E-2</v>
      </c>
      <c r="AC15" s="6">
        <f t="shared" si="5"/>
        <v>4.486967997360617E-2</v>
      </c>
      <c r="AE15" s="7">
        <v>43800</v>
      </c>
      <c r="AF15" s="3">
        <v>35.159999999999997</v>
      </c>
      <c r="AG15" s="4">
        <v>6.2600000000000003E-2</v>
      </c>
      <c r="AH15" s="6">
        <f t="shared" si="6"/>
        <v>6.2556663644605409E-2</v>
      </c>
      <c r="AJ15" s="7">
        <v>43800</v>
      </c>
      <c r="AK15" s="3">
        <v>34.43</v>
      </c>
      <c r="AL15" s="4">
        <v>1.8599999999999998E-2</v>
      </c>
      <c r="AM15" s="6">
        <f t="shared" si="7"/>
        <v>1.8639053254437946E-2</v>
      </c>
      <c r="AO15" s="7">
        <v>43800</v>
      </c>
      <c r="AP15" s="3">
        <v>41.34</v>
      </c>
      <c r="AQ15" s="4">
        <v>-2.8000000000000001E-2</v>
      </c>
      <c r="AR15" s="6">
        <f t="shared" si="8"/>
        <v>-2.7980249235833476E-2</v>
      </c>
      <c r="AT15" s="7">
        <v>43800</v>
      </c>
      <c r="AU15" s="3">
        <v>7.08</v>
      </c>
      <c r="AV15" s="4">
        <v>-9.7999999999999997E-3</v>
      </c>
      <c r="AW15" s="6">
        <f t="shared" si="9"/>
        <v>-9.7902097902098292E-3</v>
      </c>
      <c r="AY15" s="7">
        <v>43800</v>
      </c>
      <c r="AZ15" s="3">
        <v>114.88</v>
      </c>
      <c r="BA15" s="4">
        <v>2.4299999999999999E-2</v>
      </c>
      <c r="BB15" s="6">
        <f t="shared" si="10"/>
        <v>2.4342398573339186E-2</v>
      </c>
      <c r="BD15" s="7">
        <v>43800</v>
      </c>
      <c r="BE15" s="3">
        <v>34</v>
      </c>
      <c r="BF15" s="4">
        <v>3.1199999999999999E-2</v>
      </c>
      <c r="BG15" s="6">
        <f t="shared" si="11"/>
        <v>3.1240521686381594E-2</v>
      </c>
      <c r="BI15" s="7">
        <v>43800</v>
      </c>
      <c r="BJ15" s="23">
        <v>93.92</v>
      </c>
      <c r="BK15" s="4">
        <v>-2.5999999999999999E-2</v>
      </c>
      <c r="BL15" s="6">
        <f t="shared" si="12"/>
        <v>-2.6029244011199881E-2</v>
      </c>
      <c r="BM15" s="22"/>
      <c r="BN15" s="7">
        <v>43800</v>
      </c>
      <c r="BO15" s="23">
        <v>1388.35</v>
      </c>
      <c r="BP15" s="4">
        <v>1.4999999999999999E-2</v>
      </c>
      <c r="BQ15" s="6">
        <f t="shared" si="13"/>
        <v>1.5001864266758203E-2</v>
      </c>
      <c r="BR15" s="22"/>
      <c r="BS15" s="7">
        <v>43800</v>
      </c>
      <c r="BT15" s="23">
        <v>105.65</v>
      </c>
      <c r="BU15" s="4">
        <v>2.63E-2</v>
      </c>
      <c r="BV15" s="6">
        <f t="shared" si="14"/>
        <v>2.6326015154459093E-2</v>
      </c>
      <c r="BW15" s="22"/>
      <c r="BX15" s="7">
        <v>43800</v>
      </c>
      <c r="BY15" s="23">
        <v>178.67</v>
      </c>
      <c r="BZ15" s="4">
        <v>6.7000000000000002E-3</v>
      </c>
      <c r="CA15" s="6">
        <f t="shared" si="15"/>
        <v>6.7049808429118229E-3</v>
      </c>
      <c r="CB15" s="22"/>
      <c r="CC15" s="7">
        <v>43800</v>
      </c>
      <c r="CD15" s="23">
        <v>18.71</v>
      </c>
      <c r="CE15" s="4">
        <v>2.63E-2</v>
      </c>
      <c r="CF15" s="6">
        <f t="shared" si="16"/>
        <v>2.6330224904004496E-2</v>
      </c>
      <c r="CG15" s="22"/>
      <c r="CH15" s="7">
        <v>43800</v>
      </c>
      <c r="CI15" s="23">
        <v>19.47</v>
      </c>
      <c r="CJ15" s="4">
        <v>4.1700000000000001E-2</v>
      </c>
      <c r="CK15" s="6">
        <f t="shared" si="17"/>
        <v>4.1733547351524791E-2</v>
      </c>
      <c r="CL15" s="22"/>
      <c r="CM15" s="7">
        <v>43800</v>
      </c>
      <c r="CN15" s="23">
        <v>51.86</v>
      </c>
      <c r="CO15" s="4">
        <v>1.5299999999999999E-2</v>
      </c>
      <c r="CP15" s="6">
        <f t="shared" si="18"/>
        <v>1.527016444792495E-2</v>
      </c>
      <c r="CQ15" s="22"/>
      <c r="CR15" s="7">
        <v>43800</v>
      </c>
      <c r="CS15" s="23">
        <v>194.13</v>
      </c>
      <c r="CT15" s="4">
        <v>-1.46E-2</v>
      </c>
      <c r="CU15" s="6">
        <f t="shared" si="19"/>
        <v>-1.4568527918781715E-2</v>
      </c>
      <c r="CV15" s="22"/>
      <c r="CW15" s="7">
        <v>43800</v>
      </c>
      <c r="CX15" s="23">
        <v>224.67</v>
      </c>
      <c r="CY15" s="4">
        <v>0.13020000000000001</v>
      </c>
      <c r="CZ15" s="6">
        <f t="shared" si="20"/>
        <v>0.13018763519291721</v>
      </c>
      <c r="DA15" s="22"/>
      <c r="DB15" s="7">
        <v>43800</v>
      </c>
      <c r="DC15" s="23">
        <v>69.819999999999993</v>
      </c>
      <c r="DD15" s="4">
        <v>6.8199999999999997E-2</v>
      </c>
      <c r="DE15" s="6">
        <f t="shared" si="21"/>
        <v>6.823745410036719E-2</v>
      </c>
      <c r="DF15" s="22"/>
      <c r="DG15" s="7">
        <v>43800</v>
      </c>
      <c r="DH15" s="23">
        <v>100.86</v>
      </c>
      <c r="DI15" s="4">
        <v>-1.6799999999999999E-2</v>
      </c>
      <c r="DJ15" s="6">
        <f t="shared" si="22"/>
        <v>-1.6767401052836806E-2</v>
      </c>
      <c r="DK15" s="22"/>
      <c r="DL15" s="7">
        <v>43800</v>
      </c>
      <c r="DM15" s="23">
        <v>23.19</v>
      </c>
      <c r="DN15" s="4">
        <v>-8.9999999999999998E-4</v>
      </c>
      <c r="DO15" s="6">
        <f t="shared" si="23"/>
        <v>-8.6169754416198785E-4</v>
      </c>
      <c r="DQ15" s="7">
        <v>43800</v>
      </c>
      <c r="DR15" s="23">
        <v>44.37</v>
      </c>
      <c r="DS15" s="4">
        <v>4.2799999999999998E-2</v>
      </c>
      <c r="DT15" s="6">
        <f t="shared" si="24"/>
        <v>4.2773207990599305E-2</v>
      </c>
      <c r="DU15" s="24"/>
      <c r="DV15" s="7">
        <v>43800</v>
      </c>
      <c r="DW15" s="23">
        <v>88.93</v>
      </c>
      <c r="DX15" s="4">
        <v>0.109</v>
      </c>
      <c r="DY15" s="6">
        <f t="shared" si="25"/>
        <v>0.10899114602818318</v>
      </c>
      <c r="DZ15" s="24"/>
      <c r="EA15" s="7">
        <v>43800</v>
      </c>
      <c r="EB15" s="23">
        <v>37.5</v>
      </c>
      <c r="EC15" s="4">
        <v>1.15E-2</v>
      </c>
      <c r="ED15" s="6">
        <f t="shared" si="26"/>
        <v>1.1545101424255428E-2</v>
      </c>
      <c r="EE15" s="24"/>
      <c r="EF15" s="7">
        <v>43800</v>
      </c>
      <c r="EG15" s="23">
        <v>77.44</v>
      </c>
      <c r="EH15" s="4">
        <v>0.11840000000000001</v>
      </c>
      <c r="EI15" s="6">
        <f t="shared" si="27"/>
        <v>0.11842865395725019</v>
      </c>
      <c r="EJ15" s="24"/>
      <c r="EK15" s="7">
        <v>43800</v>
      </c>
      <c r="EL15" s="23">
        <v>141.83000000000001</v>
      </c>
      <c r="EM15" s="4">
        <v>9.2200000000000004E-2</v>
      </c>
      <c r="EN15" s="6">
        <f t="shared" si="28"/>
        <v>9.2176189742799924E-2</v>
      </c>
      <c r="EO15" s="24"/>
      <c r="EP15" s="7">
        <v>43800</v>
      </c>
      <c r="EQ15" s="23">
        <v>40.32</v>
      </c>
      <c r="ER15" s="4">
        <v>-5.5300000000000002E-2</v>
      </c>
      <c r="ES15" s="6">
        <f t="shared" si="29"/>
        <v>-5.5295220243673837E-2</v>
      </c>
      <c r="ET15" s="24"/>
      <c r="EU15" s="7">
        <v>43800</v>
      </c>
      <c r="EV15" s="23">
        <v>198.21</v>
      </c>
      <c r="EW15" s="4">
        <v>-4.3799999999999999E-2</v>
      </c>
      <c r="EX15" s="6">
        <f t="shared" si="30"/>
        <v>-4.3849493487699003E-2</v>
      </c>
      <c r="EY15" s="24"/>
      <c r="EZ15" s="7">
        <v>43800</v>
      </c>
      <c r="FA15" s="23">
        <v>193.54</v>
      </c>
      <c r="FB15" s="4">
        <v>3.5299999999999998E-2</v>
      </c>
      <c r="FC15" s="6">
        <f t="shared" si="31"/>
        <v>3.5305445597517887E-2</v>
      </c>
      <c r="FD15" s="24"/>
      <c r="FE15" s="7">
        <v>43800</v>
      </c>
      <c r="FF15" s="23">
        <v>79.400000000000006</v>
      </c>
      <c r="FG15" s="4">
        <v>-4.4900000000000002E-2</v>
      </c>
      <c r="FH15" s="6">
        <f t="shared" si="32"/>
        <v>-4.4869481534945146E-2</v>
      </c>
      <c r="FI15" s="24"/>
      <c r="FJ15" s="7">
        <v>43800</v>
      </c>
      <c r="FK15" s="23">
        <v>14</v>
      </c>
      <c r="FL15" s="4">
        <v>-7.1000000000000004E-3</v>
      </c>
      <c r="FM15" s="6">
        <f t="shared" si="33"/>
        <v>-7.0921985815602584E-3</v>
      </c>
      <c r="FN15" s="24"/>
      <c r="FO15" s="7">
        <v>43800</v>
      </c>
      <c r="FP15" s="23">
        <v>54.15</v>
      </c>
      <c r="FQ15" s="4">
        <v>-6.1000000000000004E-3</v>
      </c>
      <c r="FR15" s="6">
        <f t="shared" si="34"/>
        <v>-6.0572687224669294E-3</v>
      </c>
    </row>
    <row r="16" spans="1:174" ht="15.75" thickBot="1">
      <c r="A16" s="8">
        <v>43770</v>
      </c>
      <c r="B16" s="9">
        <v>15.36</v>
      </c>
      <c r="C16" s="10">
        <v>-7.9100000000000004E-2</v>
      </c>
      <c r="D16" s="11">
        <f>(B16-B21)/B21</f>
        <v>-7.9136690647482036E-2</v>
      </c>
      <c r="F16" s="8">
        <v>43770</v>
      </c>
      <c r="G16" s="9">
        <v>52.98</v>
      </c>
      <c r="H16" s="10">
        <v>3.2300000000000002E-2</v>
      </c>
      <c r="I16" s="11">
        <f>(G16-G21)/G21</f>
        <v>3.2346063912704531E-2</v>
      </c>
      <c r="K16" s="8">
        <v>43770</v>
      </c>
      <c r="L16" s="9">
        <v>15</v>
      </c>
      <c r="M16" s="10">
        <v>-1.5699999999999999E-2</v>
      </c>
      <c r="N16" s="11">
        <f>(L16-L21)/L21</f>
        <v>-1.5748031496063006E-2</v>
      </c>
      <c r="P16" s="8">
        <v>43770</v>
      </c>
      <c r="Q16" s="9">
        <v>103.51</v>
      </c>
      <c r="R16" s="10">
        <v>-3.6799999999999999E-2</v>
      </c>
      <c r="S16" s="11">
        <f>(Q16-Q21)/Q21</f>
        <v>-3.6847492323439042E-2</v>
      </c>
      <c r="U16" s="8">
        <v>43770</v>
      </c>
      <c r="V16" s="9">
        <v>333.67</v>
      </c>
      <c r="W16" s="10">
        <v>5.7799999999999997E-2</v>
      </c>
      <c r="X16" s="11">
        <f>(V16-V21)/V21</f>
        <v>5.7792290134415475E-2</v>
      </c>
      <c r="Z16" s="8">
        <v>43770</v>
      </c>
      <c r="AA16" s="9">
        <v>30.31</v>
      </c>
      <c r="AB16" s="10">
        <v>-2.1899999999999999E-2</v>
      </c>
      <c r="AC16" s="11">
        <f>(AA16-AA21)/AA21</f>
        <v>-2.1942562116811868E-2</v>
      </c>
      <c r="AE16" s="8">
        <v>43770</v>
      </c>
      <c r="AF16" s="9">
        <v>33.090000000000003</v>
      </c>
      <c r="AG16" s="10">
        <v>-4.4999999999999997E-3</v>
      </c>
      <c r="AH16" s="11">
        <f>(AF16-AF21)/AF21</f>
        <v>-4.5126353790613284E-3</v>
      </c>
      <c r="AJ16" s="8">
        <v>43770</v>
      </c>
      <c r="AK16" s="9">
        <v>33.799999999999997</v>
      </c>
      <c r="AL16" s="10">
        <v>-5.4300000000000001E-2</v>
      </c>
      <c r="AM16" s="11">
        <f>(AK16-AK21)/AK21</f>
        <v>-5.4280917739227885E-2</v>
      </c>
      <c r="AO16" s="8">
        <v>43770</v>
      </c>
      <c r="AP16" s="9">
        <v>42.53</v>
      </c>
      <c r="AQ16" s="10">
        <v>8.3000000000000001E-3</v>
      </c>
      <c r="AR16" s="11">
        <f>(AP16-AP21)/AP21</f>
        <v>8.2977714556662259E-3</v>
      </c>
      <c r="AT16" s="8">
        <v>43770</v>
      </c>
      <c r="AU16" s="9">
        <v>7.15</v>
      </c>
      <c r="AV16" s="10">
        <v>-1.11E-2</v>
      </c>
      <c r="AW16" s="11">
        <f>(AU16-AU21)/AU21</f>
        <v>-1.1065006915629332E-2</v>
      </c>
      <c r="AY16" s="8">
        <v>43770</v>
      </c>
      <c r="AZ16" s="9">
        <v>112.15</v>
      </c>
      <c r="BA16" s="10">
        <v>6.0900000000000003E-2</v>
      </c>
      <c r="BB16" s="11">
        <f>(AZ16-AZ21)/AZ21</f>
        <v>6.0921388704947614E-2</v>
      </c>
      <c r="BD16" s="8">
        <v>43770</v>
      </c>
      <c r="BE16" s="9">
        <v>32.97</v>
      </c>
      <c r="BF16" s="10">
        <v>2.7400000000000001E-2</v>
      </c>
      <c r="BG16" s="11">
        <f>(BE16-BE21)/BE21</f>
        <v>2.7422873169211447E-2</v>
      </c>
      <c r="BI16" s="8">
        <v>43770</v>
      </c>
      <c r="BJ16" s="9">
        <v>96.43</v>
      </c>
      <c r="BK16" s="10">
        <v>-1.6199999999999999E-2</v>
      </c>
      <c r="BL16" s="11">
        <f>BJ16/BJ21-1</f>
        <v>-1.6221179351152748E-2</v>
      </c>
      <c r="BM16" s="22"/>
      <c r="BN16" s="8">
        <v>43770</v>
      </c>
      <c r="BO16" s="9">
        <v>1367.83</v>
      </c>
      <c r="BP16" s="10">
        <v>-2.1600000000000001E-2</v>
      </c>
      <c r="BQ16" s="11">
        <f>BO16/BO21-1</f>
        <v>-2.162282019369699E-2</v>
      </c>
      <c r="BR16" s="22"/>
      <c r="BS16" s="8">
        <v>43770</v>
      </c>
      <c r="BT16" s="9">
        <v>102.94</v>
      </c>
      <c r="BU16" s="10">
        <v>-1.9599999999999999E-2</v>
      </c>
      <c r="BV16" s="11">
        <f>BT16/BT21-1</f>
        <v>-1.9619047619047647E-2</v>
      </c>
      <c r="BW16" s="22"/>
      <c r="BX16" s="8">
        <v>43770</v>
      </c>
      <c r="BY16" s="9">
        <v>177.48</v>
      </c>
      <c r="BZ16" s="10">
        <v>3.9699999999999999E-2</v>
      </c>
      <c r="CA16" s="11">
        <f>BY16/BY21-1</f>
        <v>3.9718804920913842E-2</v>
      </c>
      <c r="CB16" s="22"/>
      <c r="CC16" s="8">
        <v>43770</v>
      </c>
      <c r="CD16" s="9">
        <v>18.23</v>
      </c>
      <c r="CE16" s="10">
        <v>-0.1024</v>
      </c>
      <c r="CF16" s="11">
        <f>CD16/CD21-1</f>
        <v>-0.10241260462826185</v>
      </c>
      <c r="CG16" s="22"/>
      <c r="CH16" s="8">
        <v>43770</v>
      </c>
      <c r="CI16" s="9">
        <v>18.690000000000001</v>
      </c>
      <c r="CJ16" s="10">
        <v>-1.9400000000000001E-2</v>
      </c>
      <c r="CK16" s="11">
        <f>CI16/CI21-1</f>
        <v>-1.9412381951731228E-2</v>
      </c>
      <c r="CL16" s="22"/>
      <c r="CM16" s="8">
        <v>43770</v>
      </c>
      <c r="CN16" s="9">
        <v>51.08</v>
      </c>
      <c r="CO16" s="10">
        <v>8.0999999999999996E-3</v>
      </c>
      <c r="CP16" s="11">
        <f>CN16/CN21-1</f>
        <v>8.0915729228339117E-3</v>
      </c>
      <c r="CQ16" s="22"/>
      <c r="CR16" s="8">
        <v>43770</v>
      </c>
      <c r="CS16" s="9">
        <v>197</v>
      </c>
      <c r="CT16" s="10">
        <v>-2.4E-2</v>
      </c>
      <c r="CU16" s="11">
        <f>CS16/CS21-1</f>
        <v>-2.4027743373792432E-2</v>
      </c>
      <c r="CV16" s="22"/>
      <c r="CW16" s="8">
        <v>43770</v>
      </c>
      <c r="CX16" s="9">
        <v>198.79</v>
      </c>
      <c r="CY16" s="10">
        <v>-1.43E-2</v>
      </c>
      <c r="CZ16" s="11">
        <f>CX16/CX21-1</f>
        <v>-1.432963109877039E-2</v>
      </c>
      <c r="DA16" s="22"/>
      <c r="DB16" s="8">
        <v>43770</v>
      </c>
      <c r="DC16" s="9">
        <v>65.36</v>
      </c>
      <c r="DD16" s="10">
        <v>1.49E-2</v>
      </c>
      <c r="DE16" s="11">
        <f>DC16/DC21-1</f>
        <v>1.4906832298136496E-2</v>
      </c>
      <c r="DF16" s="22"/>
      <c r="DG16" s="8">
        <v>43770</v>
      </c>
      <c r="DH16" s="9">
        <v>102.58</v>
      </c>
      <c r="DI16" s="10">
        <v>-4.5999999999999999E-2</v>
      </c>
      <c r="DJ16" s="11">
        <f>DH16/DH21-1</f>
        <v>-4.603366502371431E-2</v>
      </c>
      <c r="DK16" s="22"/>
      <c r="DL16" s="8">
        <v>43770</v>
      </c>
      <c r="DM16" s="9">
        <v>23.21</v>
      </c>
      <c r="DN16" s="10">
        <v>-2.8899999999999999E-2</v>
      </c>
      <c r="DO16" s="11">
        <f>DM16/DM21-1</f>
        <v>-2.8870292887029247E-2</v>
      </c>
      <c r="DQ16" s="8">
        <v>43770</v>
      </c>
      <c r="DR16" s="9">
        <v>42.55</v>
      </c>
      <c r="DS16" s="10">
        <v>1.6000000000000001E-3</v>
      </c>
      <c r="DT16" s="11">
        <f>(DR16-DR21)/DR21</f>
        <v>1.6478342749529258E-3</v>
      </c>
      <c r="DU16" s="24"/>
      <c r="DV16" s="8">
        <v>43770</v>
      </c>
      <c r="DW16" s="9">
        <v>80.19</v>
      </c>
      <c r="DX16" s="10">
        <v>-5.6899999999999999E-2</v>
      </c>
      <c r="DY16" s="11">
        <f>(DW16-DW21)/DW21</f>
        <v>-5.692108667529111E-2</v>
      </c>
      <c r="DZ16" s="24"/>
      <c r="EA16" s="8">
        <v>43770</v>
      </c>
      <c r="EB16" s="9">
        <v>37.072000000000003</v>
      </c>
      <c r="EC16" s="10">
        <v>-3.4599999999999999E-2</v>
      </c>
      <c r="ED16" s="11">
        <f>(EB16-EB21)/EB21</f>
        <v>-3.4558191619573381E-2</v>
      </c>
      <c r="EE16" s="24"/>
      <c r="EF16" s="8">
        <v>43770</v>
      </c>
      <c r="EG16" s="9">
        <v>69.239999999999995</v>
      </c>
      <c r="EH16" s="10">
        <v>-0.1239</v>
      </c>
      <c r="EI16" s="11">
        <f>(EG16-EG21)/EG21</f>
        <v>-0.12387700873086177</v>
      </c>
      <c r="EJ16" s="24"/>
      <c r="EK16" s="8">
        <v>43770</v>
      </c>
      <c r="EL16" s="9">
        <v>129.86000000000001</v>
      </c>
      <c r="EM16" s="10">
        <v>-2.63E-2</v>
      </c>
      <c r="EN16" s="11">
        <f>(EL16-EL21)/EL21</f>
        <v>-2.6317762615280727E-2</v>
      </c>
      <c r="EO16" s="24"/>
      <c r="EP16" s="8">
        <v>43770</v>
      </c>
      <c r="EQ16" s="9">
        <v>42.68</v>
      </c>
      <c r="ER16" s="10">
        <v>2.8199999999999999E-2</v>
      </c>
      <c r="ES16" s="11">
        <f>(EQ16-EQ21)/EQ21</f>
        <v>2.8185979282100742E-2</v>
      </c>
      <c r="ET16" s="24"/>
      <c r="EU16" s="8">
        <v>43770</v>
      </c>
      <c r="EV16" s="9">
        <v>207.3</v>
      </c>
      <c r="EW16" s="10">
        <v>-0.10199999999999999</v>
      </c>
      <c r="EX16" s="11">
        <f>(EV16-EV21)/EV21</f>
        <v>-0.10197539421244148</v>
      </c>
      <c r="EY16" s="24"/>
      <c r="EZ16" s="8">
        <v>43770</v>
      </c>
      <c r="FA16" s="9">
        <v>186.94</v>
      </c>
      <c r="FB16" s="10">
        <v>5.0599999999999999E-2</v>
      </c>
      <c r="FC16" s="11">
        <f>(FA16-FA21)/FA21</f>
        <v>5.0578846802292909E-2</v>
      </c>
      <c r="FD16" s="24"/>
      <c r="FE16" s="8">
        <v>43770</v>
      </c>
      <c r="FF16" s="9">
        <v>83.13</v>
      </c>
      <c r="FG16" s="10">
        <v>2E-3</v>
      </c>
      <c r="FH16" s="11">
        <f>(FF16-FF21)/FF21</f>
        <v>2.0491803278688734E-3</v>
      </c>
      <c r="FI16" s="24"/>
      <c r="FJ16" s="8">
        <v>43770</v>
      </c>
      <c r="FK16" s="9">
        <v>14.1</v>
      </c>
      <c r="FL16" s="10">
        <v>0.1208</v>
      </c>
      <c r="FM16" s="11">
        <f>(FK16-FK21)/FK21</f>
        <v>0.12082670906200314</v>
      </c>
      <c r="FN16" s="24"/>
      <c r="FO16" s="8">
        <v>43770</v>
      </c>
      <c r="FP16" s="9">
        <v>54.48</v>
      </c>
      <c r="FQ16" s="10">
        <v>-5.6300000000000003E-2</v>
      </c>
      <c r="FR16" s="11">
        <f>(FP16-FP21)/FP21</f>
        <v>-5.6296552918759749E-2</v>
      </c>
    </row>
    <row r="17" spans="1:16379" ht="15.75" thickBot="1">
      <c r="A17" s="1"/>
      <c r="C17" s="15" t="s">
        <v>6</v>
      </c>
      <c r="D17" s="5">
        <f>(1+AVERAGE(D5:D16))^12-1</f>
        <v>0.19828256049136672</v>
      </c>
      <c r="F17" s="1"/>
      <c r="H17" s="15" t="s">
        <v>6</v>
      </c>
      <c r="I17" s="5">
        <f>(1+AVERAGE(I5:I16))^12-1</f>
        <v>-0.45831190597432303</v>
      </c>
      <c r="K17" s="1"/>
      <c r="M17" s="15" t="s">
        <v>6</v>
      </c>
      <c r="N17" s="5">
        <f>(1+AVERAGE(N5:N16))^12-1</f>
        <v>-0.14282987163111582</v>
      </c>
      <c r="P17" s="1"/>
      <c r="R17" s="15" t="s">
        <v>6</v>
      </c>
      <c r="S17" s="5">
        <f>(1+AVERAGE(S5:S16))^12-1</f>
        <v>-0.12121053683620986</v>
      </c>
      <c r="U17" s="1"/>
      <c r="W17" s="15" t="s">
        <v>6</v>
      </c>
      <c r="X17" s="5">
        <f>(1+AVERAGE(X5:X16))^12-1</f>
        <v>-0.14028516987561224</v>
      </c>
      <c r="Z17" s="1"/>
      <c r="AB17" s="15" t="s">
        <v>6</v>
      </c>
      <c r="AC17" s="5">
        <f>(1+AVERAGE(AC5:AC16))^12-1</f>
        <v>-0.38652130368890691</v>
      </c>
      <c r="AE17" s="1"/>
      <c r="AG17" s="15" t="s">
        <v>6</v>
      </c>
      <c r="AH17" s="5">
        <f>(1+AVERAGE(AH5:AH16))^12-1</f>
        <v>0.41887364851342679</v>
      </c>
      <c r="AJ17" s="1"/>
      <c r="AL17" s="15" t="s">
        <v>6</v>
      </c>
      <c r="AM17" s="5">
        <f>(1+AVERAGE(AM5:AM16))^12-1</f>
        <v>0.17973613628313934</v>
      </c>
      <c r="AO17" s="1"/>
      <c r="AQ17" s="15" t="s">
        <v>6</v>
      </c>
      <c r="AR17" s="5">
        <f>(1+AVERAGE(AR5:AR16))^12-1</f>
        <v>7.1265134115868545E-2</v>
      </c>
      <c r="AT17" s="1"/>
      <c r="AV17" s="15" t="s">
        <v>6</v>
      </c>
      <c r="AW17" s="5">
        <f>(1+AVERAGE(AW5:AW16))^12-1</f>
        <v>0.32335097171246452</v>
      </c>
      <c r="AY17" s="1"/>
      <c r="BA17" s="15" t="s">
        <v>6</v>
      </c>
      <c r="BB17" s="5">
        <f>(1+AVERAGE(BB5:BB16))^12-1</f>
        <v>-0.22451298350608684</v>
      </c>
      <c r="BD17" s="1"/>
      <c r="BF17" s="15" t="s">
        <v>6</v>
      </c>
      <c r="BG17" s="5">
        <f>(1+AVERAGE(BG5:BG16))^12-1</f>
        <v>0.10975197883361654</v>
      </c>
      <c r="BI17" s="1"/>
      <c r="BJ17" s="22"/>
      <c r="BK17" s="15" t="s">
        <v>6</v>
      </c>
      <c r="BL17" s="5">
        <f>(1+AVERAGE(BL5:BL16))^12-1</f>
        <v>-0.31326945247659277</v>
      </c>
      <c r="BM17" s="22"/>
      <c r="BN17" s="1"/>
      <c r="BO17" s="22"/>
      <c r="BP17" s="15" t="s">
        <v>6</v>
      </c>
      <c r="BQ17" s="5">
        <f>(1+AVERAGE(BQ5:BQ16))^12-1</f>
        <v>-0.13541005719138621</v>
      </c>
      <c r="BR17" s="22"/>
      <c r="BS17" s="1"/>
      <c r="BT17" s="22"/>
      <c r="BU17" s="15" t="s">
        <v>6</v>
      </c>
      <c r="BV17" s="5">
        <f>(1+AVERAGE(BV5:BV16))^12-1</f>
        <v>5.1801485905661915E-2</v>
      </c>
      <c r="BW17" s="22"/>
      <c r="BX17" s="1"/>
      <c r="BY17" s="22"/>
      <c r="BZ17" s="15" t="s">
        <v>6</v>
      </c>
      <c r="CA17" s="5">
        <f>(1+AVERAGE(CA5:CA16))^12-1</f>
        <v>-0.32290112031707063</v>
      </c>
      <c r="CB17" s="22"/>
      <c r="CC17" s="1"/>
      <c r="CD17" s="22"/>
      <c r="CE17" s="15" t="s">
        <v>6</v>
      </c>
      <c r="CF17" s="5">
        <f>(1+AVERAGE(CF5:CF16))^12-1</f>
        <v>-2.1181660937215741E-2</v>
      </c>
      <c r="CG17" s="22"/>
      <c r="CH17" s="1"/>
      <c r="CI17" s="22"/>
      <c r="CJ17" s="15" t="s">
        <v>6</v>
      </c>
      <c r="CK17" s="5">
        <f>(1+AVERAGE(CK5:CK16))^12-1</f>
        <v>-0.64894871750342098</v>
      </c>
      <c r="CL17" s="22"/>
      <c r="CM17" s="1"/>
      <c r="CN17" s="22"/>
      <c r="CO17" s="15" t="s">
        <v>6</v>
      </c>
      <c r="CP17" s="5">
        <f>(1+AVERAGE(CP5:CP16))^12-1</f>
        <v>0.22906166070088108</v>
      </c>
      <c r="CQ17" s="22"/>
      <c r="CR17" s="1"/>
      <c r="CS17" s="22"/>
      <c r="CT17" s="15" t="s">
        <v>6</v>
      </c>
      <c r="CU17" s="5">
        <f>(1+AVERAGE(CU5:CU16))^12-1</f>
        <v>0.16990606258516894</v>
      </c>
      <c r="CV17" s="22"/>
      <c r="CW17" s="1"/>
      <c r="CX17" s="22"/>
      <c r="CY17" s="15" t="s">
        <v>6</v>
      </c>
      <c r="CZ17" s="5">
        <f>(1+AVERAGE(CZ5:CZ16))^12-1</f>
        <v>3.3540955116500237E-2</v>
      </c>
      <c r="DA17" s="22"/>
      <c r="DB17" s="1"/>
      <c r="DC17" s="22"/>
      <c r="DD17" s="15" t="s">
        <v>6</v>
      </c>
      <c r="DE17" s="5">
        <f>(1+AVERAGE(DE5:DE16))^12-1</f>
        <v>-0.35968566773546262</v>
      </c>
      <c r="DF17" s="22"/>
      <c r="DG17" s="1"/>
      <c r="DH17" s="22"/>
      <c r="DI17" s="15" t="s">
        <v>6</v>
      </c>
      <c r="DJ17" s="5">
        <f>(1+AVERAGE(DJ5:DJ16))^12-1</f>
        <v>8.2484143958787337E-2</v>
      </c>
      <c r="DK17" s="22"/>
      <c r="DL17" s="1"/>
      <c r="DM17" s="22"/>
      <c r="DN17" s="15" t="s">
        <v>6</v>
      </c>
      <c r="DO17" s="5">
        <f>(1+AVERAGE(DO5:DO16))^12-1</f>
        <v>-0.31905785911080253</v>
      </c>
      <c r="DQ17" s="1"/>
      <c r="DR17" s="22"/>
      <c r="DS17" s="15" t="s">
        <v>6</v>
      </c>
      <c r="DT17" s="5">
        <f>((1+AVERAGE(DT5:DT16))^12)-1</f>
        <v>-0.33319413936907538</v>
      </c>
      <c r="DU17" s="24"/>
      <c r="DV17" s="1"/>
      <c r="DW17" s="22"/>
      <c r="DX17" s="15" t="s">
        <v>6</v>
      </c>
      <c r="DY17" s="5">
        <f>((1+AVERAGE(DY5:DY16))^12)-1</f>
        <v>-0.1321711796183761</v>
      </c>
      <c r="DZ17" s="24"/>
      <c r="EA17" s="1"/>
      <c r="EB17" s="22"/>
      <c r="EC17" s="15" t="s">
        <v>6</v>
      </c>
      <c r="ED17" s="5">
        <f>((1+AVERAGE(ED5:ED16))^12)-1</f>
        <v>-0.17041146805822527</v>
      </c>
      <c r="EE17" s="24"/>
      <c r="EF17" s="1"/>
      <c r="EG17" s="22"/>
      <c r="EH17" s="15" t="s">
        <v>6</v>
      </c>
      <c r="EI17" s="5">
        <f>((1+AVERAGE(EI5:EI16))^12)-1</f>
        <v>-0.11995668929924808</v>
      </c>
      <c r="EJ17" s="24"/>
      <c r="EK17" s="1"/>
      <c r="EL17" s="22"/>
      <c r="EM17" s="15" t="s">
        <v>6</v>
      </c>
      <c r="EN17" s="5">
        <f>((1+AVERAGE(EN5:EN16))^12)-1</f>
        <v>-0.17659250775843649</v>
      </c>
      <c r="EO17" s="24"/>
      <c r="EP17" s="1"/>
      <c r="EQ17" s="22"/>
      <c r="ER17" s="15" t="s">
        <v>6</v>
      </c>
      <c r="ES17" s="5">
        <f>((1+AVERAGE(ES5:ES16))^12)-1</f>
        <v>1.1953063791017016E-3</v>
      </c>
      <c r="ET17" s="24"/>
      <c r="EU17" s="1"/>
      <c r="EV17" s="22"/>
      <c r="EW17" s="15" t="s">
        <v>6</v>
      </c>
      <c r="EX17" s="5">
        <f>((1+AVERAGE(EX5:EX16))^12)-1</f>
        <v>0.63510942130946857</v>
      </c>
      <c r="EY17" s="24"/>
      <c r="EZ17" s="1"/>
      <c r="FA17" s="22"/>
      <c r="FB17" s="15" t="s">
        <v>6</v>
      </c>
      <c r="FC17" s="5">
        <f>((1+AVERAGE(FC5:FC16))^12)-1</f>
        <v>-0.1964848253456859</v>
      </c>
      <c r="FD17" s="24"/>
      <c r="FE17" s="1"/>
      <c r="FF17" s="22"/>
      <c r="FG17" s="15" t="s">
        <v>6</v>
      </c>
      <c r="FH17" s="5">
        <f>((1+AVERAGE(FH5:FH16))^12)-1</f>
        <v>0.24608230433148015</v>
      </c>
      <c r="FI17" s="24"/>
      <c r="FJ17" s="1"/>
      <c r="FK17" s="22"/>
      <c r="FL17" s="15" t="s">
        <v>6</v>
      </c>
      <c r="FM17" s="5">
        <f>((1+AVERAGE(FM5:FM16))^12)-1</f>
        <v>0.6099629927470962</v>
      </c>
      <c r="FN17" s="24"/>
      <c r="FO17" s="1"/>
      <c r="FP17" s="22"/>
      <c r="FQ17" s="15" t="s">
        <v>6</v>
      </c>
      <c r="FR17" s="5">
        <f>((1+AVERAGE(FR5:FR16))^12)-1</f>
        <v>-0.10822910130664776</v>
      </c>
    </row>
    <row r="18" spans="1:16379" ht="15.75" thickBot="1">
      <c r="A18" s="1"/>
      <c r="C18" s="2"/>
      <c r="K18" s="1"/>
      <c r="M18" s="2"/>
      <c r="P18" s="1"/>
      <c r="R18" s="2"/>
      <c r="U18" s="1"/>
      <c r="W18" s="2"/>
      <c r="AE18" s="1"/>
      <c r="AG18" s="2"/>
      <c r="AO18" s="1"/>
      <c r="AQ18" s="2"/>
      <c r="AT18" s="1"/>
      <c r="AV18" s="2"/>
      <c r="AY18" s="1"/>
      <c r="BA18" s="2"/>
      <c r="BD18" s="1"/>
      <c r="BF18" s="2"/>
      <c r="BI18" s="1"/>
      <c r="BJ18" s="22"/>
      <c r="BK18" s="2"/>
      <c r="BL18" s="21"/>
      <c r="BM18" s="22"/>
      <c r="BN18" s="1"/>
      <c r="BO18" s="22"/>
      <c r="BP18" s="2"/>
      <c r="BQ18" s="21"/>
      <c r="BR18" s="22"/>
      <c r="BS18" s="1"/>
      <c r="BT18" s="22"/>
      <c r="BU18" s="2"/>
      <c r="BV18" s="21"/>
      <c r="BW18" s="22"/>
      <c r="BX18" s="1"/>
      <c r="BY18" s="22"/>
      <c r="BZ18" s="2"/>
      <c r="CA18" s="21"/>
      <c r="CB18" s="22"/>
      <c r="CC18" s="1"/>
      <c r="CD18" s="22"/>
      <c r="CE18" s="2"/>
      <c r="CF18" s="21"/>
      <c r="CG18" s="22"/>
      <c r="CH18" s="1"/>
      <c r="CI18" s="22"/>
      <c r="CJ18" s="2"/>
      <c r="CK18" s="21"/>
      <c r="CL18" s="22"/>
      <c r="CM18" s="1"/>
      <c r="CN18" s="22"/>
      <c r="CO18" s="2"/>
      <c r="CP18" s="21"/>
      <c r="CQ18" s="22"/>
      <c r="CR18" s="1"/>
      <c r="CS18" s="22"/>
      <c r="CT18" s="2"/>
      <c r="CU18" s="21"/>
      <c r="CV18" s="22"/>
      <c r="CW18" s="1"/>
      <c r="CX18" s="22"/>
      <c r="CY18" s="2"/>
      <c r="CZ18" s="21"/>
      <c r="DA18" s="22"/>
      <c r="DB18" s="1"/>
      <c r="DC18" s="22"/>
      <c r="DD18" s="2"/>
      <c r="DE18" s="21"/>
      <c r="DF18" s="22"/>
      <c r="DG18" s="1"/>
      <c r="DH18" s="22"/>
      <c r="DI18" s="2"/>
      <c r="DJ18" s="21"/>
      <c r="DK18" s="22"/>
      <c r="DL18" s="1"/>
      <c r="DM18" s="22"/>
      <c r="DN18" s="2"/>
      <c r="DO18" s="21"/>
      <c r="DQ18" s="25"/>
      <c r="DR18" s="24"/>
      <c r="DS18" s="26"/>
      <c r="DT18" s="24"/>
      <c r="DU18" s="24"/>
      <c r="DV18" s="24"/>
      <c r="DW18" s="24"/>
      <c r="DX18" s="24"/>
      <c r="DY18" s="24"/>
      <c r="DZ18" s="24"/>
      <c r="EA18" s="25"/>
      <c r="EB18" s="24"/>
      <c r="EC18" s="26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</row>
    <row r="19" spans="1:16379">
      <c r="A19" s="110" t="s">
        <v>5</v>
      </c>
      <c r="B19" s="111"/>
      <c r="C19" s="111"/>
      <c r="D19" s="112"/>
      <c r="F19" s="114" t="s">
        <v>5</v>
      </c>
      <c r="G19" s="115"/>
      <c r="H19" s="115"/>
      <c r="I19" s="116"/>
      <c r="J19" s="16"/>
      <c r="K19" s="114" t="s">
        <v>5</v>
      </c>
      <c r="L19" s="115"/>
      <c r="M19" s="115"/>
      <c r="N19" s="116"/>
      <c r="O19" s="16"/>
      <c r="P19" s="110" t="s">
        <v>5</v>
      </c>
      <c r="Q19" s="111"/>
      <c r="R19" s="111"/>
      <c r="S19" s="112"/>
      <c r="U19" s="114" t="s">
        <v>5</v>
      </c>
      <c r="V19" s="115"/>
      <c r="W19" s="115"/>
      <c r="X19" s="116"/>
      <c r="Y19" s="16"/>
      <c r="Z19" s="114" t="s">
        <v>5</v>
      </c>
      <c r="AA19" s="115"/>
      <c r="AB19" s="115"/>
      <c r="AC19" s="116"/>
      <c r="AD19" s="16"/>
      <c r="AE19" s="110" t="s">
        <v>5</v>
      </c>
      <c r="AF19" s="111"/>
      <c r="AG19" s="111"/>
      <c r="AH19" s="112"/>
      <c r="AJ19" s="114" t="s">
        <v>5</v>
      </c>
      <c r="AK19" s="115"/>
      <c r="AL19" s="115"/>
      <c r="AM19" s="116"/>
      <c r="AN19" s="16"/>
      <c r="AO19" s="114" t="s">
        <v>5</v>
      </c>
      <c r="AP19" s="115"/>
      <c r="AQ19" s="115"/>
      <c r="AR19" s="116"/>
      <c r="AS19" s="16"/>
      <c r="AT19" s="110" t="s">
        <v>5</v>
      </c>
      <c r="AU19" s="111"/>
      <c r="AV19" s="111"/>
      <c r="AW19" s="112"/>
      <c r="AY19" s="114" t="s">
        <v>5</v>
      </c>
      <c r="AZ19" s="115"/>
      <c r="BA19" s="115"/>
      <c r="BB19" s="116"/>
      <c r="BC19" s="16"/>
      <c r="BD19" s="114" t="s">
        <v>5</v>
      </c>
      <c r="BE19" s="115"/>
      <c r="BF19" s="115"/>
      <c r="BG19" s="116"/>
      <c r="BH19" s="16"/>
      <c r="BI19" s="110" t="s">
        <v>5</v>
      </c>
      <c r="BJ19" s="111"/>
      <c r="BK19" s="111"/>
      <c r="BL19" s="112"/>
      <c r="BM19" s="22"/>
      <c r="BN19" s="110" t="s">
        <v>5</v>
      </c>
      <c r="BO19" s="111"/>
      <c r="BP19" s="111"/>
      <c r="BQ19" s="112"/>
      <c r="BR19" s="22"/>
      <c r="BS19" s="110" t="s">
        <v>5</v>
      </c>
      <c r="BT19" s="111"/>
      <c r="BU19" s="111"/>
      <c r="BV19" s="112"/>
      <c r="BW19" s="22"/>
      <c r="BX19" s="110" t="s">
        <v>5</v>
      </c>
      <c r="BY19" s="111"/>
      <c r="BZ19" s="111"/>
      <c r="CA19" s="112"/>
      <c r="CB19" s="22"/>
      <c r="CC19" s="110" t="s">
        <v>5</v>
      </c>
      <c r="CD19" s="111"/>
      <c r="CE19" s="111"/>
      <c r="CF19" s="112"/>
      <c r="CG19" s="22"/>
      <c r="CH19" s="110" t="s">
        <v>5</v>
      </c>
      <c r="CI19" s="111"/>
      <c r="CJ19" s="111"/>
      <c r="CK19" s="112"/>
      <c r="CL19" s="22"/>
      <c r="CM19" s="110" t="s">
        <v>5</v>
      </c>
      <c r="CN19" s="111"/>
      <c r="CO19" s="111"/>
      <c r="CP19" s="112"/>
      <c r="CQ19" s="22"/>
      <c r="CR19" s="110" t="s">
        <v>5</v>
      </c>
      <c r="CS19" s="111"/>
      <c r="CT19" s="111"/>
      <c r="CU19" s="112"/>
      <c r="CV19" s="22"/>
      <c r="CW19" s="110" t="s">
        <v>5</v>
      </c>
      <c r="CX19" s="111"/>
      <c r="CY19" s="111"/>
      <c r="CZ19" s="112"/>
      <c r="DA19" s="22"/>
      <c r="DB19" s="110" t="s">
        <v>5</v>
      </c>
      <c r="DC19" s="111"/>
      <c r="DD19" s="111"/>
      <c r="DE19" s="112"/>
      <c r="DF19" s="22"/>
      <c r="DG19" s="110" t="s">
        <v>5</v>
      </c>
      <c r="DH19" s="111"/>
      <c r="DI19" s="111"/>
      <c r="DJ19" s="112"/>
      <c r="DK19" s="22"/>
      <c r="DL19" s="110" t="s">
        <v>5</v>
      </c>
      <c r="DM19" s="111"/>
      <c r="DN19" s="111"/>
      <c r="DO19" s="112"/>
      <c r="DP19" s="16"/>
      <c r="DQ19" s="110" t="s">
        <v>5</v>
      </c>
      <c r="DR19" s="111"/>
      <c r="DS19" s="111"/>
      <c r="DT19" s="112"/>
      <c r="DU19" s="24"/>
      <c r="DV19" s="110" t="s">
        <v>5</v>
      </c>
      <c r="DW19" s="111"/>
      <c r="DX19" s="111"/>
      <c r="DY19" s="112"/>
      <c r="DZ19" s="17"/>
      <c r="EA19" s="110" t="s">
        <v>5</v>
      </c>
      <c r="EB19" s="111"/>
      <c r="EC19" s="111"/>
      <c r="ED19" s="112"/>
      <c r="EE19" s="17"/>
      <c r="EF19" s="110" t="s">
        <v>5</v>
      </c>
      <c r="EG19" s="111"/>
      <c r="EH19" s="111"/>
      <c r="EI19" s="112"/>
      <c r="EJ19" s="24"/>
      <c r="EK19" s="110" t="s">
        <v>5</v>
      </c>
      <c r="EL19" s="111"/>
      <c r="EM19" s="111"/>
      <c r="EN19" s="112"/>
      <c r="EO19" s="24"/>
      <c r="EP19" s="110" t="s">
        <v>5</v>
      </c>
      <c r="EQ19" s="111"/>
      <c r="ER19" s="111"/>
      <c r="ES19" s="112"/>
      <c r="ET19" s="24"/>
      <c r="EU19" s="110" t="s">
        <v>5</v>
      </c>
      <c r="EV19" s="111"/>
      <c r="EW19" s="111"/>
      <c r="EX19" s="112"/>
      <c r="EY19" s="24"/>
      <c r="EZ19" s="110" t="s">
        <v>5</v>
      </c>
      <c r="FA19" s="111"/>
      <c r="FB19" s="111"/>
      <c r="FC19" s="112"/>
      <c r="FD19" s="24"/>
      <c r="FE19" s="110" t="s">
        <v>5</v>
      </c>
      <c r="FF19" s="111"/>
      <c r="FG19" s="111"/>
      <c r="FH19" s="112"/>
      <c r="FI19" s="24"/>
      <c r="FJ19" s="110" t="s">
        <v>5</v>
      </c>
      <c r="FK19" s="111"/>
      <c r="FL19" s="111"/>
      <c r="FM19" s="112"/>
      <c r="FN19" s="24"/>
      <c r="FO19" s="110" t="s">
        <v>5</v>
      </c>
      <c r="FP19" s="111"/>
      <c r="FQ19" s="111"/>
      <c r="FR19" s="112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  <c r="XEW19" s="16"/>
      <c r="XEX19" s="16"/>
      <c r="XEY19" s="16"/>
    </row>
    <row r="20" spans="1:16379">
      <c r="A20" s="12" t="s">
        <v>0</v>
      </c>
      <c r="B20" s="13" t="s">
        <v>1</v>
      </c>
      <c r="C20" s="13" t="s">
        <v>2</v>
      </c>
      <c r="D20" s="14" t="s">
        <v>3</v>
      </c>
      <c r="E20" s="22"/>
      <c r="F20" s="12" t="s">
        <v>0</v>
      </c>
      <c r="G20" s="13" t="s">
        <v>1</v>
      </c>
      <c r="H20" s="13" t="s">
        <v>2</v>
      </c>
      <c r="I20" s="14" t="s">
        <v>3</v>
      </c>
      <c r="J20" s="22"/>
      <c r="K20" s="12" t="s">
        <v>0</v>
      </c>
      <c r="L20" s="13" t="s">
        <v>1</v>
      </c>
      <c r="M20" s="13" t="s">
        <v>2</v>
      </c>
      <c r="N20" s="14" t="s">
        <v>3</v>
      </c>
      <c r="O20" s="22"/>
      <c r="P20" s="12" t="s">
        <v>0</v>
      </c>
      <c r="Q20" s="13" t="s">
        <v>1</v>
      </c>
      <c r="R20" s="13" t="s">
        <v>2</v>
      </c>
      <c r="S20" s="14" t="s">
        <v>3</v>
      </c>
      <c r="T20" s="22"/>
      <c r="U20" s="12" t="s">
        <v>0</v>
      </c>
      <c r="V20" s="13" t="s">
        <v>1</v>
      </c>
      <c r="W20" s="13" t="s">
        <v>2</v>
      </c>
      <c r="X20" s="14" t="s">
        <v>3</v>
      </c>
      <c r="Y20" s="22"/>
      <c r="Z20" s="12" t="s">
        <v>0</v>
      </c>
      <c r="AA20" s="13" t="s">
        <v>1</v>
      </c>
      <c r="AB20" s="13" t="s">
        <v>2</v>
      </c>
      <c r="AC20" s="14" t="s">
        <v>3</v>
      </c>
      <c r="AD20" s="22"/>
      <c r="AE20" s="12" t="s">
        <v>0</v>
      </c>
      <c r="AF20" s="13" t="s">
        <v>1</v>
      </c>
      <c r="AG20" s="13" t="s">
        <v>2</v>
      </c>
      <c r="AH20" s="14" t="s">
        <v>3</v>
      </c>
      <c r="AI20" s="22"/>
      <c r="AJ20" s="12" t="s">
        <v>0</v>
      </c>
      <c r="AK20" s="13" t="s">
        <v>1</v>
      </c>
      <c r="AL20" s="13" t="s">
        <v>2</v>
      </c>
      <c r="AM20" s="14" t="s">
        <v>3</v>
      </c>
      <c r="AN20" s="22"/>
      <c r="AO20" s="12" t="s">
        <v>0</v>
      </c>
      <c r="AP20" s="13" t="s">
        <v>1</v>
      </c>
      <c r="AQ20" s="13" t="s">
        <v>2</v>
      </c>
      <c r="AR20" s="14" t="s">
        <v>3</v>
      </c>
      <c r="AS20" s="22"/>
      <c r="AT20" s="12" t="s">
        <v>0</v>
      </c>
      <c r="AU20" s="13" t="s">
        <v>1</v>
      </c>
      <c r="AV20" s="13" t="s">
        <v>2</v>
      </c>
      <c r="AW20" s="14" t="s">
        <v>3</v>
      </c>
      <c r="AX20" s="22"/>
      <c r="AY20" s="12" t="s">
        <v>0</v>
      </c>
      <c r="AZ20" s="13" t="s">
        <v>1</v>
      </c>
      <c r="BA20" s="13" t="s">
        <v>2</v>
      </c>
      <c r="BB20" s="14" t="s">
        <v>3</v>
      </c>
      <c r="BC20" s="22"/>
      <c r="BD20" s="12" t="s">
        <v>0</v>
      </c>
      <c r="BE20" s="13" t="s">
        <v>1</v>
      </c>
      <c r="BF20" s="13" t="s">
        <v>2</v>
      </c>
      <c r="BG20" s="14" t="s">
        <v>3</v>
      </c>
      <c r="BH20" s="22"/>
      <c r="BI20" s="12" t="s">
        <v>0</v>
      </c>
      <c r="BJ20" s="13" t="s">
        <v>1</v>
      </c>
      <c r="BK20" s="13" t="s">
        <v>2</v>
      </c>
      <c r="BL20" s="14" t="s">
        <v>3</v>
      </c>
      <c r="BM20" s="22"/>
      <c r="BN20" s="12" t="s">
        <v>0</v>
      </c>
      <c r="BO20" s="13" t="s">
        <v>1</v>
      </c>
      <c r="BP20" s="13" t="s">
        <v>2</v>
      </c>
      <c r="BQ20" s="14" t="s">
        <v>3</v>
      </c>
      <c r="BR20" s="22"/>
      <c r="BS20" s="12" t="s">
        <v>0</v>
      </c>
      <c r="BT20" s="13" t="s">
        <v>1</v>
      </c>
      <c r="BU20" s="13" t="s">
        <v>2</v>
      </c>
      <c r="BV20" s="14" t="s">
        <v>3</v>
      </c>
      <c r="BW20" s="22"/>
      <c r="BX20" s="12" t="s">
        <v>0</v>
      </c>
      <c r="BY20" s="13" t="s">
        <v>1</v>
      </c>
      <c r="BZ20" s="13" t="s">
        <v>2</v>
      </c>
      <c r="CA20" s="14" t="s">
        <v>3</v>
      </c>
      <c r="CB20" s="22"/>
      <c r="CC20" s="12" t="s">
        <v>0</v>
      </c>
      <c r="CD20" s="13" t="s">
        <v>1</v>
      </c>
      <c r="CE20" s="13" t="s">
        <v>2</v>
      </c>
      <c r="CF20" s="14" t="s">
        <v>3</v>
      </c>
      <c r="CG20" s="22"/>
      <c r="CH20" s="12" t="s">
        <v>0</v>
      </c>
      <c r="CI20" s="13" t="s">
        <v>1</v>
      </c>
      <c r="CJ20" s="13" t="s">
        <v>2</v>
      </c>
      <c r="CK20" s="14" t="s">
        <v>3</v>
      </c>
      <c r="CL20" s="22"/>
      <c r="CM20" s="12" t="s">
        <v>0</v>
      </c>
      <c r="CN20" s="13" t="s">
        <v>1</v>
      </c>
      <c r="CO20" s="13" t="s">
        <v>2</v>
      </c>
      <c r="CP20" s="14" t="s">
        <v>3</v>
      </c>
      <c r="CQ20" s="22"/>
      <c r="CR20" s="12" t="s">
        <v>0</v>
      </c>
      <c r="CS20" s="13" t="s">
        <v>1</v>
      </c>
      <c r="CT20" s="13" t="s">
        <v>2</v>
      </c>
      <c r="CU20" s="14" t="s">
        <v>3</v>
      </c>
      <c r="CV20" s="22"/>
      <c r="CW20" s="12" t="s">
        <v>0</v>
      </c>
      <c r="CX20" s="13" t="s">
        <v>1</v>
      </c>
      <c r="CY20" s="13" t="s">
        <v>2</v>
      </c>
      <c r="CZ20" s="14" t="s">
        <v>3</v>
      </c>
      <c r="DA20" s="22"/>
      <c r="DB20" s="12" t="s">
        <v>0</v>
      </c>
      <c r="DC20" s="13" t="s">
        <v>1</v>
      </c>
      <c r="DD20" s="13" t="s">
        <v>2</v>
      </c>
      <c r="DE20" s="14" t="s">
        <v>3</v>
      </c>
      <c r="DF20" s="22"/>
      <c r="DG20" s="12" t="s">
        <v>0</v>
      </c>
      <c r="DH20" s="13" t="s">
        <v>1</v>
      </c>
      <c r="DI20" s="13" t="s">
        <v>2</v>
      </c>
      <c r="DJ20" s="14" t="s">
        <v>3</v>
      </c>
      <c r="DK20" s="22"/>
      <c r="DL20" s="12" t="s">
        <v>0</v>
      </c>
      <c r="DM20" s="13" t="s">
        <v>1</v>
      </c>
      <c r="DN20" s="13" t="s">
        <v>2</v>
      </c>
      <c r="DO20" s="14" t="s">
        <v>3</v>
      </c>
      <c r="DP20" s="22"/>
      <c r="DQ20" s="12" t="s">
        <v>0</v>
      </c>
      <c r="DR20" s="13" t="s">
        <v>1</v>
      </c>
      <c r="DS20" s="13" t="s">
        <v>2</v>
      </c>
      <c r="DT20" s="14" t="s">
        <v>3</v>
      </c>
      <c r="DU20" s="24"/>
      <c r="DV20" s="12" t="s">
        <v>0</v>
      </c>
      <c r="DW20" s="13" t="s">
        <v>1</v>
      </c>
      <c r="DX20" s="13" t="s">
        <v>2</v>
      </c>
      <c r="DY20" s="14" t="s">
        <v>3</v>
      </c>
      <c r="DZ20" s="17"/>
      <c r="EA20" s="12" t="s">
        <v>0</v>
      </c>
      <c r="EB20" s="13" t="s">
        <v>1</v>
      </c>
      <c r="EC20" s="13" t="s">
        <v>2</v>
      </c>
      <c r="ED20" s="14" t="s">
        <v>3</v>
      </c>
      <c r="EE20" s="17"/>
      <c r="EF20" s="12" t="s">
        <v>0</v>
      </c>
      <c r="EG20" s="13" t="s">
        <v>1</v>
      </c>
      <c r="EH20" s="13" t="s">
        <v>2</v>
      </c>
      <c r="EI20" s="14" t="s">
        <v>3</v>
      </c>
      <c r="EJ20" s="17"/>
      <c r="EK20" s="12" t="s">
        <v>0</v>
      </c>
      <c r="EL20" s="13" t="s">
        <v>1</v>
      </c>
      <c r="EM20" s="13" t="s">
        <v>2</v>
      </c>
      <c r="EN20" s="14" t="s">
        <v>3</v>
      </c>
      <c r="EO20" s="17"/>
      <c r="EP20" s="12" t="s">
        <v>0</v>
      </c>
      <c r="EQ20" s="13" t="s">
        <v>1</v>
      </c>
      <c r="ER20" s="13" t="s">
        <v>2</v>
      </c>
      <c r="ES20" s="14" t="s">
        <v>3</v>
      </c>
      <c r="ET20" s="24"/>
      <c r="EU20" s="12" t="s">
        <v>0</v>
      </c>
      <c r="EV20" s="13" t="s">
        <v>1</v>
      </c>
      <c r="EW20" s="13" t="s">
        <v>2</v>
      </c>
      <c r="EX20" s="14" t="s">
        <v>3</v>
      </c>
      <c r="EY20" s="17"/>
      <c r="EZ20" s="12" t="s">
        <v>0</v>
      </c>
      <c r="FA20" s="13" t="s">
        <v>1</v>
      </c>
      <c r="FB20" s="13" t="s">
        <v>2</v>
      </c>
      <c r="FC20" s="14" t="s">
        <v>3</v>
      </c>
      <c r="FD20" s="17"/>
      <c r="FE20" s="12" t="s">
        <v>0</v>
      </c>
      <c r="FF20" s="13" t="s">
        <v>1</v>
      </c>
      <c r="FG20" s="13" t="s">
        <v>2</v>
      </c>
      <c r="FH20" s="14" t="s">
        <v>3</v>
      </c>
      <c r="FI20" s="24"/>
      <c r="FJ20" s="12" t="s">
        <v>0</v>
      </c>
      <c r="FK20" s="13" t="s">
        <v>1</v>
      </c>
      <c r="FL20" s="13" t="s">
        <v>2</v>
      </c>
      <c r="FM20" s="14" t="s">
        <v>3</v>
      </c>
      <c r="FN20" s="17"/>
      <c r="FO20" s="12" t="s">
        <v>0</v>
      </c>
      <c r="FP20" s="13" t="s">
        <v>1</v>
      </c>
      <c r="FQ20" s="13" t="s">
        <v>2</v>
      </c>
      <c r="FR20" s="14" t="s">
        <v>3</v>
      </c>
    </row>
    <row r="21" spans="1:16379">
      <c r="A21" s="7">
        <v>43739</v>
      </c>
      <c r="B21" s="3">
        <v>16.68</v>
      </c>
      <c r="C21" s="4">
        <v>-3.7499999999999999E-2</v>
      </c>
      <c r="D21" s="6">
        <f t="shared" si="1"/>
        <v>-3.7507212925562528E-2</v>
      </c>
      <c r="F21" s="7">
        <v>43739</v>
      </c>
      <c r="G21" s="3">
        <v>51.32</v>
      </c>
      <c r="H21" s="4">
        <v>0.1186</v>
      </c>
      <c r="I21" s="6">
        <f t="shared" ref="I21:I31" si="35">(G21-G22)/G22</f>
        <v>0.11857018308631206</v>
      </c>
      <c r="K21" s="7">
        <v>43739</v>
      </c>
      <c r="L21" s="3">
        <v>15.24</v>
      </c>
      <c r="M21" s="4">
        <v>4.1000000000000002E-2</v>
      </c>
      <c r="N21" s="6">
        <f t="shared" ref="N21:N31" si="36">(L21-L22)/L22</f>
        <v>4.0983606557377025E-2</v>
      </c>
      <c r="P21" s="7">
        <v>43739</v>
      </c>
      <c r="Q21" s="3">
        <v>107.47</v>
      </c>
      <c r="R21" s="4">
        <v>7.4999999999999997E-3</v>
      </c>
      <c r="S21" s="6">
        <f t="shared" ref="S21:S31" si="37">(Q21-Q22)/Q22</f>
        <v>7.4997656323239634E-3</v>
      </c>
      <c r="U21" s="7">
        <v>43739</v>
      </c>
      <c r="V21" s="3">
        <v>315.44</v>
      </c>
      <c r="W21" s="4">
        <v>4.5699999999999998E-2</v>
      </c>
      <c r="X21" s="6">
        <f t="shared" ref="X21:X31" si="38">(V21-V22)/V22</f>
        <v>4.5749900543694509E-2</v>
      </c>
      <c r="Z21" s="7">
        <v>43739</v>
      </c>
      <c r="AA21" s="3">
        <v>30.99</v>
      </c>
      <c r="AB21" s="4">
        <v>-5.0299999999999997E-2</v>
      </c>
      <c r="AC21" s="6">
        <f t="shared" ref="AC21:AC31" si="39">(AA21-AA22)/AA22</f>
        <v>-5.0260496475636039E-2</v>
      </c>
      <c r="AE21" s="7">
        <v>43739</v>
      </c>
      <c r="AF21" s="3">
        <v>33.24</v>
      </c>
      <c r="AG21" s="4">
        <v>0.14269999999999999</v>
      </c>
      <c r="AH21" s="6">
        <f t="shared" ref="AH21:AH31" si="40">(AF21-AF22)/AF22</f>
        <v>0.14266070814712967</v>
      </c>
      <c r="AJ21" s="7">
        <v>43739</v>
      </c>
      <c r="AK21" s="3">
        <v>35.74</v>
      </c>
      <c r="AL21" s="4">
        <v>-6.8999999999999999E-3</v>
      </c>
      <c r="AM21" s="6">
        <f t="shared" ref="AM21:AM31" si="41">(AK21-AK22)/AK22</f>
        <v>-6.9463739927757709E-3</v>
      </c>
      <c r="AO21" s="7">
        <v>43739</v>
      </c>
      <c r="AP21" s="3">
        <v>42.18</v>
      </c>
      <c r="AQ21" s="4">
        <v>0.1366</v>
      </c>
      <c r="AR21" s="6">
        <f t="shared" ref="AR21:AR31" si="42">(AP21-AP22)/AP22</f>
        <v>0.13662085691188361</v>
      </c>
      <c r="AT21" s="7">
        <v>43739</v>
      </c>
      <c r="AU21" s="3">
        <v>7.23</v>
      </c>
      <c r="AV21" s="4">
        <v>-5.9799999999999999E-2</v>
      </c>
      <c r="AW21" s="6">
        <f t="shared" ref="AW21:AW31" si="43">(AU21-AU22)/AU22</f>
        <v>-5.9817945383615075E-2</v>
      </c>
      <c r="AY21" s="7">
        <v>43739</v>
      </c>
      <c r="AZ21" s="3">
        <v>105.71</v>
      </c>
      <c r="BA21" s="4">
        <v>-0.1197</v>
      </c>
      <c r="BB21" s="6">
        <f t="shared" ref="BB21:BB31" si="44">(AZ21-AZ22)/AZ22</f>
        <v>-0.11974352568906661</v>
      </c>
      <c r="BD21" s="7">
        <v>43739</v>
      </c>
      <c r="BE21" s="3">
        <v>32.090000000000003</v>
      </c>
      <c r="BF21" s="4">
        <v>5.8700000000000002E-2</v>
      </c>
      <c r="BG21" s="6">
        <f t="shared" ref="BG21:BG31" si="45">(BE21-BE22)/BE22</f>
        <v>5.8726492906631629E-2</v>
      </c>
      <c r="BI21" s="7">
        <v>43739</v>
      </c>
      <c r="BJ21" s="23">
        <v>98.02</v>
      </c>
      <c r="BK21" s="4">
        <v>-9.35E-2</v>
      </c>
      <c r="BL21" s="6">
        <f>BJ21/BJ22-1</f>
        <v>-9.3498566540275552E-2</v>
      </c>
      <c r="BM21" s="22"/>
      <c r="BN21" s="7">
        <v>43739</v>
      </c>
      <c r="BO21" s="23">
        <v>1398.06</v>
      </c>
      <c r="BP21" s="4">
        <v>-1.1999999999999999E-3</v>
      </c>
      <c r="BQ21" s="6">
        <f>BO21/BO22-1</f>
        <v>-1.2002228985383834E-3</v>
      </c>
      <c r="BR21" s="22"/>
      <c r="BS21" s="7">
        <v>43739</v>
      </c>
      <c r="BT21" s="23">
        <v>105</v>
      </c>
      <c r="BU21" s="4">
        <v>-1.01E-2</v>
      </c>
      <c r="BV21" s="6">
        <f>BT21/BT22-1</f>
        <v>-1.0087677948524498E-2</v>
      </c>
      <c r="BW21" s="22"/>
      <c r="BX21" s="7">
        <v>43739</v>
      </c>
      <c r="BY21" s="23">
        <v>170.7</v>
      </c>
      <c r="BZ21" s="4">
        <v>-5.7200000000000001E-2</v>
      </c>
      <c r="CA21" s="6">
        <f>BY21/BY22-1</f>
        <v>-5.7166528583264431E-2</v>
      </c>
      <c r="CB21" s="22"/>
      <c r="CC21" s="7">
        <v>43739</v>
      </c>
      <c r="CD21" s="23">
        <v>20.309999999999999</v>
      </c>
      <c r="CE21" s="4">
        <v>7.3499999999999996E-2</v>
      </c>
      <c r="CF21" s="6">
        <f>CD21/CD22-1</f>
        <v>7.3467230443974518E-2</v>
      </c>
      <c r="CG21" s="22"/>
      <c r="CH21" s="7">
        <v>43739</v>
      </c>
      <c r="CI21" s="23">
        <v>19.059999999999999</v>
      </c>
      <c r="CJ21" s="4">
        <v>0.17080000000000001</v>
      </c>
      <c r="CK21" s="6">
        <f>CI21/CI22-1</f>
        <v>0.17076167076167059</v>
      </c>
      <c r="CL21" s="22"/>
      <c r="CM21" s="7">
        <v>43739</v>
      </c>
      <c r="CN21" s="23">
        <v>50.67</v>
      </c>
      <c r="CO21" s="4">
        <v>9.8199999999999996E-2</v>
      </c>
      <c r="CP21" s="6">
        <f>CN21/CN22-1</f>
        <v>9.8179453836150898E-2</v>
      </c>
      <c r="CQ21" s="22"/>
      <c r="CR21" s="7">
        <v>43739</v>
      </c>
      <c r="CS21" s="23">
        <v>201.85</v>
      </c>
      <c r="CT21" s="4">
        <v>-4.0000000000000002E-4</v>
      </c>
      <c r="CU21" s="6">
        <f>CS21/CS22-1</f>
        <v>-4.4567693374275574E-4</v>
      </c>
      <c r="CV21" s="22"/>
      <c r="CW21" s="7">
        <v>43739</v>
      </c>
      <c r="CX21" s="23">
        <v>201.68</v>
      </c>
      <c r="CY21" s="4">
        <v>6.2E-2</v>
      </c>
      <c r="CZ21" s="6">
        <f>CX21/CX22-1</f>
        <v>6.2032648762506692E-2</v>
      </c>
      <c r="DA21" s="22"/>
      <c r="DB21" s="7">
        <v>43739</v>
      </c>
      <c r="DC21" s="23">
        <v>64.400000000000006</v>
      </c>
      <c r="DD21" s="4">
        <v>0.11169999999999999</v>
      </c>
      <c r="DE21" s="6">
        <f>DC21/DC22-1</f>
        <v>0.11168651821163489</v>
      </c>
      <c r="DF21" s="22"/>
      <c r="DG21" s="7">
        <v>43739</v>
      </c>
      <c r="DH21" s="23">
        <v>107.53</v>
      </c>
      <c r="DI21" s="4">
        <v>2.0199999999999999E-2</v>
      </c>
      <c r="DJ21" s="6">
        <f>DH21/DH22-1</f>
        <v>2.0208728652751473E-2</v>
      </c>
      <c r="DK21" s="22"/>
      <c r="DL21" s="7">
        <v>43739</v>
      </c>
      <c r="DM21" s="23">
        <v>23.9</v>
      </c>
      <c r="DN21" s="4">
        <v>-4.7800000000000002E-2</v>
      </c>
      <c r="DO21" s="6">
        <f>DM21/DM22-1</f>
        <v>-4.7808764940239112E-2</v>
      </c>
      <c r="DQ21" s="7">
        <v>43739</v>
      </c>
      <c r="DR21" s="23">
        <v>42.48</v>
      </c>
      <c r="DS21" s="4">
        <v>9.9699999999999997E-2</v>
      </c>
      <c r="DT21" s="6">
        <f>(DR21-DR22)/DR22</f>
        <v>9.9663473983950146E-2</v>
      </c>
      <c r="DU21" s="24"/>
      <c r="DV21" s="7">
        <v>43739</v>
      </c>
      <c r="DW21" s="23">
        <v>85.03</v>
      </c>
      <c r="DX21" s="4">
        <v>8.4000000000000005E-2</v>
      </c>
      <c r="DY21" s="6">
        <f>(DW21-DW22)/DW22</f>
        <v>8.401325854156047E-2</v>
      </c>
      <c r="DZ21" s="24"/>
      <c r="EA21" s="7">
        <v>43739</v>
      </c>
      <c r="EB21" s="23">
        <v>38.399000000000001</v>
      </c>
      <c r="EC21" s="4">
        <v>-1.15E-2</v>
      </c>
      <c r="ED21" s="6">
        <f t="shared" ref="ED21:ED31" si="46">(EB21-EB22)/EB22</f>
        <v>-1.1506976265252425E-2</v>
      </c>
      <c r="EE21" s="24"/>
      <c r="EF21" s="7">
        <v>43739</v>
      </c>
      <c r="EG21" s="23">
        <v>79.03</v>
      </c>
      <c r="EH21" s="4">
        <v>-5.4999999999999997E-3</v>
      </c>
      <c r="EI21" s="6">
        <f>(EG21-EG22)/EG22</f>
        <v>-5.536680508367909E-3</v>
      </c>
      <c r="EJ21" s="24"/>
      <c r="EK21" s="7">
        <v>43739</v>
      </c>
      <c r="EL21" s="23">
        <v>133.37</v>
      </c>
      <c r="EM21" s="4">
        <v>0.1391</v>
      </c>
      <c r="EN21" s="6">
        <f>(EL21-EL22)/EL22</f>
        <v>0.1391356337546977</v>
      </c>
      <c r="EO21" s="24"/>
      <c r="EP21" s="7">
        <v>43739</v>
      </c>
      <c r="EQ21" s="23">
        <v>41.51</v>
      </c>
      <c r="ER21" s="4">
        <v>7.7899999999999997E-2</v>
      </c>
      <c r="ES21" s="6">
        <f>(EQ21-EQ22)/EQ22</f>
        <v>7.7901843676967023E-2</v>
      </c>
      <c r="ET21" s="24"/>
      <c r="EU21" s="7">
        <v>43739</v>
      </c>
      <c r="EV21" s="23">
        <v>230.84</v>
      </c>
      <c r="EW21" s="4">
        <v>-0.1212</v>
      </c>
      <c r="EX21" s="6">
        <f>(EV21-EV22)/EV22</f>
        <v>-0.12117866524536494</v>
      </c>
      <c r="EY21" s="24"/>
      <c r="EZ21" s="7">
        <v>43739</v>
      </c>
      <c r="FA21" s="23">
        <v>177.94</v>
      </c>
      <c r="FB21" s="4">
        <v>5.7000000000000002E-3</v>
      </c>
      <c r="FC21" s="6">
        <f>(FA21-FA22)/FA22</f>
        <v>5.6516333220300663E-3</v>
      </c>
      <c r="FD21" s="24"/>
      <c r="FE21" s="7">
        <v>43739</v>
      </c>
      <c r="FF21" s="23">
        <v>82.96</v>
      </c>
      <c r="FG21" s="4">
        <v>0.17030000000000001</v>
      </c>
      <c r="FH21" s="6">
        <f>(FF21-FF22)/FF22</f>
        <v>0.17026378896882485</v>
      </c>
      <c r="FI21" s="24"/>
      <c r="FJ21" s="7">
        <v>43739</v>
      </c>
      <c r="FK21" s="23">
        <v>12.58</v>
      </c>
      <c r="FL21" s="4">
        <v>-3.5299999999999998E-2</v>
      </c>
      <c r="FM21" s="6">
        <f>(FK21-FK22)/FK22</f>
        <v>-3.527607361963183E-2</v>
      </c>
      <c r="FN21" s="24"/>
      <c r="FO21" s="7">
        <v>43739</v>
      </c>
      <c r="FP21" s="23">
        <v>57.73</v>
      </c>
      <c r="FQ21" s="4">
        <v>-1.2800000000000001E-2</v>
      </c>
      <c r="FR21" s="6">
        <f>(FP21-FP22)/FP22</f>
        <v>-1.2824897400820793E-2</v>
      </c>
    </row>
    <row r="22" spans="1:16379">
      <c r="A22" s="7">
        <v>43709</v>
      </c>
      <c r="B22" s="3">
        <v>17.329999999999998</v>
      </c>
      <c r="C22" s="4">
        <v>1.23E-2</v>
      </c>
      <c r="D22" s="6">
        <f t="shared" si="1"/>
        <v>1.2266355140186758E-2</v>
      </c>
      <c r="F22" s="7">
        <v>43709</v>
      </c>
      <c r="G22" s="3">
        <v>45.88</v>
      </c>
      <c r="H22" s="4">
        <v>7.3499999999999996E-2</v>
      </c>
      <c r="I22" s="6">
        <f t="shared" si="35"/>
        <v>7.3467477772578393E-2</v>
      </c>
      <c r="K22" s="7">
        <v>43709</v>
      </c>
      <c r="L22" s="3">
        <v>14.64</v>
      </c>
      <c r="M22" s="4">
        <v>-1.4E-3</v>
      </c>
      <c r="N22" s="6">
        <f t="shared" si="36"/>
        <v>-1.364256480218252E-3</v>
      </c>
      <c r="P22" s="7">
        <v>43709</v>
      </c>
      <c r="Q22" s="3">
        <v>106.67</v>
      </c>
      <c r="R22" s="4">
        <v>1.5800000000000002E-2</v>
      </c>
      <c r="S22" s="6">
        <f t="shared" si="37"/>
        <v>1.5808018283972922E-2</v>
      </c>
      <c r="U22" s="7">
        <v>43709</v>
      </c>
      <c r="V22" s="3">
        <v>301.64</v>
      </c>
      <c r="W22" s="4">
        <v>2.3E-2</v>
      </c>
      <c r="X22" s="6">
        <f t="shared" si="38"/>
        <v>2.3028658639986307E-2</v>
      </c>
      <c r="Z22" s="7">
        <v>43709</v>
      </c>
      <c r="AA22" s="3">
        <v>32.630000000000003</v>
      </c>
      <c r="AB22" s="4">
        <v>-2.5999999999999999E-2</v>
      </c>
      <c r="AC22" s="6">
        <f t="shared" si="39"/>
        <v>-2.5970149253731267E-2</v>
      </c>
      <c r="AE22" s="7">
        <v>43709</v>
      </c>
      <c r="AF22" s="3">
        <v>29.09</v>
      </c>
      <c r="AG22" s="4">
        <v>3.49E-2</v>
      </c>
      <c r="AH22" s="6">
        <f t="shared" si="40"/>
        <v>3.4863038064745659E-2</v>
      </c>
      <c r="AJ22" s="7">
        <v>43709</v>
      </c>
      <c r="AK22" s="3">
        <v>35.99</v>
      </c>
      <c r="AL22" s="4">
        <v>2.6200000000000001E-2</v>
      </c>
      <c r="AM22" s="6">
        <f t="shared" si="41"/>
        <v>2.6233247790134067E-2</v>
      </c>
      <c r="AO22" s="7">
        <v>43709</v>
      </c>
      <c r="AP22" s="3">
        <v>37.11</v>
      </c>
      <c r="AQ22" s="4">
        <v>6.4999999999999997E-3</v>
      </c>
      <c r="AR22" s="6">
        <f t="shared" si="42"/>
        <v>6.509357200976458E-3</v>
      </c>
      <c r="AT22" s="7">
        <v>43709</v>
      </c>
      <c r="AU22" s="3">
        <v>7.69</v>
      </c>
      <c r="AV22" s="4">
        <v>2.9499999999999998E-2</v>
      </c>
      <c r="AW22" s="6">
        <f t="shared" si="43"/>
        <v>2.945113788487291E-2</v>
      </c>
      <c r="AY22" s="7">
        <v>43709</v>
      </c>
      <c r="AZ22" s="3">
        <v>120.09</v>
      </c>
      <c r="BA22" s="4">
        <v>1.29E-2</v>
      </c>
      <c r="BB22" s="6">
        <f t="shared" si="44"/>
        <v>1.2904858299595151E-2</v>
      </c>
      <c r="BD22" s="7">
        <v>43709</v>
      </c>
      <c r="BE22" s="3">
        <v>30.31</v>
      </c>
      <c r="BF22" s="4">
        <v>-1.72E-2</v>
      </c>
      <c r="BG22" s="6">
        <f t="shared" si="45"/>
        <v>-1.7185473411154381E-2</v>
      </c>
      <c r="BI22" s="7">
        <v>43709</v>
      </c>
      <c r="BJ22" s="23">
        <v>108.13</v>
      </c>
      <c r="BK22" s="4">
        <v>0.04</v>
      </c>
      <c r="BL22" s="6">
        <f t="shared" ref="BL22:BL31" si="47">BJ22/BJ23-1</f>
        <v>4.0011541790901273E-2</v>
      </c>
      <c r="BM22" s="22"/>
      <c r="BN22" s="7">
        <v>43709</v>
      </c>
      <c r="BO22" s="23">
        <v>1399.74</v>
      </c>
      <c r="BP22" s="4">
        <v>8.6E-3</v>
      </c>
      <c r="BQ22" s="6">
        <f t="shared" ref="BQ22:BQ31" si="48">BO22/BO23-1</f>
        <v>8.6398847054585115E-3</v>
      </c>
      <c r="BR22" s="22"/>
      <c r="BS22" s="7">
        <v>43709</v>
      </c>
      <c r="BT22" s="23">
        <v>106.07</v>
      </c>
      <c r="BU22" s="4">
        <v>-1.6199999999999999E-2</v>
      </c>
      <c r="BV22" s="6">
        <f t="shared" ref="BV22:BV31" si="49">BT22/BT23-1</f>
        <v>-1.6230754961973681E-2</v>
      </c>
      <c r="BW22" s="22"/>
      <c r="BX22" s="7">
        <v>43709</v>
      </c>
      <c r="BY22" s="23">
        <v>181.05</v>
      </c>
      <c r="BZ22" s="4">
        <v>-1.0800000000000001E-2</v>
      </c>
      <c r="CA22" s="6">
        <f t="shared" ref="CA22:CA31" si="50">BY22/BY23-1</f>
        <v>-1.081789870513028E-2</v>
      </c>
      <c r="CB22" s="22"/>
      <c r="CC22" s="7">
        <v>43709</v>
      </c>
      <c r="CD22" s="23">
        <v>18.920000000000002</v>
      </c>
      <c r="CE22" s="4">
        <v>0.12690000000000001</v>
      </c>
      <c r="CF22" s="6">
        <f t="shared" ref="CF22:CF31" si="51">CD22/CD23-1</f>
        <v>0.12686122692078627</v>
      </c>
      <c r="CG22" s="22"/>
      <c r="CH22" s="7">
        <v>43709</v>
      </c>
      <c r="CI22" s="23">
        <v>16.28</v>
      </c>
      <c r="CJ22" s="4">
        <v>8.5300000000000001E-2</v>
      </c>
      <c r="CK22" s="6">
        <f t="shared" ref="CK22:CK31" si="52">CI22/CI23-1</f>
        <v>8.5333333333333483E-2</v>
      </c>
      <c r="CL22" s="22"/>
      <c r="CM22" s="7">
        <v>43709</v>
      </c>
      <c r="CN22" s="23">
        <v>46.14</v>
      </c>
      <c r="CO22" s="4">
        <v>-4.0000000000000002E-4</v>
      </c>
      <c r="CP22" s="6">
        <f t="shared" ref="CP22:CP31" si="53">CN22/CN23-1</f>
        <v>-4.3327556325811756E-4</v>
      </c>
      <c r="CQ22" s="22"/>
      <c r="CR22" s="7">
        <v>43709</v>
      </c>
      <c r="CS22" s="23">
        <v>201.94</v>
      </c>
      <c r="CT22" s="4">
        <v>8.1900000000000001E-2</v>
      </c>
      <c r="CU22" s="6">
        <f t="shared" ref="CU22:CU31" si="54">CS22/CS23-1</f>
        <v>8.1860066430943901E-2</v>
      </c>
      <c r="CV22" s="22"/>
      <c r="CW22" s="7">
        <v>43709</v>
      </c>
      <c r="CX22" s="23">
        <v>189.9</v>
      </c>
      <c r="CY22" s="4">
        <v>-6.7999999999999996E-3</v>
      </c>
      <c r="CZ22" s="6">
        <f t="shared" ref="CZ22:CZ31" si="55">CX22/CX23-1</f>
        <v>-6.7991631799162455E-3</v>
      </c>
      <c r="DA22" s="22"/>
      <c r="DB22" s="7">
        <v>43709</v>
      </c>
      <c r="DC22" s="23">
        <v>57.93</v>
      </c>
      <c r="DD22" s="4">
        <v>4.8999999999999998E-3</v>
      </c>
      <c r="DE22" s="6">
        <f t="shared" ref="DE22:DE31" si="56">DC22/DC23-1</f>
        <v>4.8568950563747659E-3</v>
      </c>
      <c r="DF22" s="22"/>
      <c r="DG22" s="7">
        <v>43709</v>
      </c>
      <c r="DH22" s="23">
        <v>105.4</v>
      </c>
      <c r="DI22" s="4">
        <v>3.8999999999999998E-3</v>
      </c>
      <c r="DJ22" s="6">
        <f t="shared" ref="DJ22:DJ31" si="57">DH22/DH23-1</f>
        <v>3.9051338222688692E-3</v>
      </c>
      <c r="DK22" s="22"/>
      <c r="DL22" s="7">
        <v>43709</v>
      </c>
      <c r="DM22" s="23">
        <v>25.1</v>
      </c>
      <c r="DN22" s="4">
        <v>1.3299999999999999E-2</v>
      </c>
      <c r="DO22" s="6">
        <f t="shared" ref="DO22:DO31" si="58">DM22/DM23-1</f>
        <v>1.3322567622123582E-2</v>
      </c>
      <c r="DQ22" s="7">
        <v>43709</v>
      </c>
      <c r="DR22" s="23">
        <v>38.630000000000003</v>
      </c>
      <c r="DS22" s="4">
        <v>0.09</v>
      </c>
      <c r="DT22" s="6">
        <f t="shared" ref="DT22:DT31" si="59">(DR22-DR23)/DR23</f>
        <v>9.0011286681715721E-2</v>
      </c>
      <c r="DU22" s="24"/>
      <c r="DV22" s="7">
        <v>43709</v>
      </c>
      <c r="DW22" s="23">
        <v>78.44</v>
      </c>
      <c r="DX22" s="4">
        <v>-6.9699999999999998E-2</v>
      </c>
      <c r="DY22" s="6">
        <f t="shared" ref="DY22:DY31" si="60">(DW22-DW23)/DW23</f>
        <v>-6.97343453510436E-2</v>
      </c>
      <c r="DZ22" s="24"/>
      <c r="EA22" s="7">
        <v>43709</v>
      </c>
      <c r="EB22" s="23">
        <v>38.845999999999997</v>
      </c>
      <c r="EC22" s="4">
        <v>-4.2700000000000002E-2</v>
      </c>
      <c r="ED22" s="6">
        <f t="shared" si="46"/>
        <v>-4.2706818797900489E-2</v>
      </c>
      <c r="EE22" s="24"/>
      <c r="EF22" s="7">
        <v>43709</v>
      </c>
      <c r="EG22" s="23">
        <v>79.47</v>
      </c>
      <c r="EH22" s="4">
        <v>-2.87E-2</v>
      </c>
      <c r="EI22" s="6">
        <f t="shared" ref="EI22:EI31" si="61">(EG22-EG23)/EG23</f>
        <v>-2.8721583964800713E-2</v>
      </c>
      <c r="EJ22" s="24"/>
      <c r="EK22" s="7">
        <v>43709</v>
      </c>
      <c r="EL22" s="23">
        <v>117.08</v>
      </c>
      <c r="EM22" s="4">
        <v>-5.7000000000000002E-3</v>
      </c>
      <c r="EN22" s="6">
        <f t="shared" ref="EN22:EN31" si="62">(EL22-EL23)/EL23</f>
        <v>-5.69002123142252E-3</v>
      </c>
      <c r="EO22" s="24"/>
      <c r="EP22" s="7">
        <v>43709</v>
      </c>
      <c r="EQ22" s="23">
        <v>38.51</v>
      </c>
      <c r="ER22" s="4">
        <v>4.7899999999999998E-2</v>
      </c>
      <c r="ES22" s="6">
        <f t="shared" ref="ES22:ES31" si="63">(EQ22-EQ23)/EQ23</f>
        <v>4.7891156462584981E-2</v>
      </c>
      <c r="ET22" s="24"/>
      <c r="EU22" s="7">
        <v>43709</v>
      </c>
      <c r="EV22" s="23">
        <v>262.67</v>
      </c>
      <c r="EW22" s="4">
        <v>9.1600000000000001E-2</v>
      </c>
      <c r="EX22" s="6">
        <f t="shared" ref="EX22:EX31" si="64">(EV22-EV23)/EV23</f>
        <v>9.1638267808162296E-2</v>
      </c>
      <c r="EY22" s="24"/>
      <c r="EZ22" s="7">
        <v>43709</v>
      </c>
      <c r="FA22" s="23">
        <v>176.94</v>
      </c>
      <c r="FB22" s="4">
        <v>5.4600000000000003E-2</v>
      </c>
      <c r="FC22" s="6">
        <f t="shared" ref="FC22:FC31" si="65">(FA22-FA23)/FA23</f>
        <v>5.4595303373465229E-2</v>
      </c>
      <c r="FD22" s="24"/>
      <c r="FE22" s="7">
        <v>43709</v>
      </c>
      <c r="FF22" s="23">
        <v>70.89</v>
      </c>
      <c r="FG22" s="4">
        <v>5.0700000000000002E-2</v>
      </c>
      <c r="FH22" s="6">
        <f t="shared" ref="FH22:FH31" si="66">(FF22-FF23)/FF23</f>
        <v>5.0689195197865744E-2</v>
      </c>
      <c r="FI22" s="24"/>
      <c r="FJ22" s="7">
        <v>43709</v>
      </c>
      <c r="FK22" s="23">
        <v>13.04</v>
      </c>
      <c r="FL22" s="4">
        <v>4.1500000000000002E-2</v>
      </c>
      <c r="FM22" s="6">
        <f t="shared" ref="FM22:FM31" si="67">(FK22-FK23)/FK23</f>
        <v>4.1533546325878565E-2</v>
      </c>
      <c r="FN22" s="24"/>
      <c r="FO22" s="7">
        <v>43709</v>
      </c>
      <c r="FP22" s="23">
        <v>58.48</v>
      </c>
      <c r="FQ22" s="4">
        <v>3.0800000000000001E-2</v>
      </c>
      <c r="FR22" s="6">
        <f t="shared" ref="FR22:FR31" si="68">(FP22-FP23)/FP23</f>
        <v>3.0847875903402083E-2</v>
      </c>
    </row>
    <row r="23" spans="1:16379">
      <c r="A23" s="7">
        <v>43678</v>
      </c>
      <c r="B23" s="3">
        <v>17.12</v>
      </c>
      <c r="C23" s="4">
        <v>3.1300000000000001E-2</v>
      </c>
      <c r="D23" s="6">
        <f t="shared" si="1"/>
        <v>3.1325301204819252E-2</v>
      </c>
      <c r="F23" s="7">
        <v>43678</v>
      </c>
      <c r="G23" s="3">
        <v>42.74</v>
      </c>
      <c r="H23" s="4">
        <v>9.3899999999999997E-2</v>
      </c>
      <c r="I23" s="6">
        <f t="shared" si="35"/>
        <v>9.393396467878172E-2</v>
      </c>
      <c r="K23" s="7">
        <v>43678</v>
      </c>
      <c r="L23" s="3">
        <v>14.66</v>
      </c>
      <c r="M23" s="4">
        <v>8.7499999999999994E-2</v>
      </c>
      <c r="N23" s="6">
        <f t="shared" si="36"/>
        <v>8.7537091988130533E-2</v>
      </c>
      <c r="P23" s="7">
        <v>43678</v>
      </c>
      <c r="Q23" s="3">
        <v>105.01</v>
      </c>
      <c r="R23" s="4">
        <v>3.0200000000000001E-2</v>
      </c>
      <c r="S23" s="6">
        <f t="shared" si="37"/>
        <v>3.021681546159127E-2</v>
      </c>
      <c r="U23" s="7">
        <v>43678</v>
      </c>
      <c r="V23" s="3">
        <v>294.85000000000002</v>
      </c>
      <c r="W23" s="4">
        <v>1.34E-2</v>
      </c>
      <c r="X23" s="6">
        <f t="shared" si="38"/>
        <v>1.3404365011170422E-2</v>
      </c>
      <c r="Z23" s="7">
        <v>43678</v>
      </c>
      <c r="AA23" s="3">
        <v>33.5</v>
      </c>
      <c r="AB23" s="4">
        <v>-7.0699999999999999E-2</v>
      </c>
      <c r="AC23" s="6">
        <f t="shared" si="39"/>
        <v>-7.0735090152565808E-2</v>
      </c>
      <c r="AE23" s="7">
        <v>43678</v>
      </c>
      <c r="AF23" s="3">
        <v>28.11</v>
      </c>
      <c r="AG23" s="4">
        <v>-1.1299999999999999E-2</v>
      </c>
      <c r="AH23" s="6">
        <f t="shared" si="40"/>
        <v>-1.1255715793176232E-2</v>
      </c>
      <c r="AJ23" s="7">
        <v>43678</v>
      </c>
      <c r="AK23" s="3">
        <v>35.07</v>
      </c>
      <c r="AL23" s="4">
        <v>-3.9199999999999999E-2</v>
      </c>
      <c r="AM23" s="6">
        <f t="shared" si="41"/>
        <v>-3.9178082191780816E-2</v>
      </c>
      <c r="AO23" s="7">
        <v>43678</v>
      </c>
      <c r="AP23" s="3">
        <v>36.869999999999997</v>
      </c>
      <c r="AQ23" s="4">
        <v>0.15359999999999999</v>
      </c>
      <c r="AR23" s="6">
        <f t="shared" si="42"/>
        <v>0.15362953692115133</v>
      </c>
      <c r="AT23" s="7">
        <v>43678</v>
      </c>
      <c r="AU23" s="3">
        <v>7.47</v>
      </c>
      <c r="AV23" s="4">
        <v>9.69E-2</v>
      </c>
      <c r="AW23" s="6">
        <f t="shared" si="43"/>
        <v>9.6916299559471397E-2</v>
      </c>
      <c r="AY23" s="7">
        <v>43678</v>
      </c>
      <c r="AZ23" s="3">
        <v>118.56</v>
      </c>
      <c r="BA23" s="4">
        <v>6.7999999999999996E-3</v>
      </c>
      <c r="BB23" s="6">
        <f t="shared" si="44"/>
        <v>6.7934782608695407E-3</v>
      </c>
      <c r="BD23" s="7">
        <v>43678</v>
      </c>
      <c r="BE23" s="3">
        <v>30.84</v>
      </c>
      <c r="BF23" s="4">
        <v>9.2799999999999994E-2</v>
      </c>
      <c r="BG23" s="6">
        <f t="shared" si="45"/>
        <v>9.2841956059532285E-2</v>
      </c>
      <c r="BI23" s="7">
        <v>43678</v>
      </c>
      <c r="BJ23" s="23">
        <v>103.97</v>
      </c>
      <c r="BK23" s="4">
        <v>0.11700000000000001</v>
      </c>
      <c r="BL23" s="6">
        <f t="shared" si="47"/>
        <v>0.11699613235926076</v>
      </c>
      <c r="BM23" s="22"/>
      <c r="BN23" s="7">
        <v>43678</v>
      </c>
      <c r="BO23" s="23">
        <v>1387.75</v>
      </c>
      <c r="BP23" s="4">
        <v>7.1999999999999995E-2</v>
      </c>
      <c r="BQ23" s="6">
        <f t="shared" si="48"/>
        <v>7.2010691138868932E-2</v>
      </c>
      <c r="BR23" s="22"/>
      <c r="BS23" s="7">
        <v>43678</v>
      </c>
      <c r="BT23" s="23">
        <v>107.82</v>
      </c>
      <c r="BU23" s="4">
        <v>0.11749999999999999</v>
      </c>
      <c r="BV23" s="6">
        <f t="shared" si="49"/>
        <v>0.11753731343283569</v>
      </c>
      <c r="BW23" s="22"/>
      <c r="BX23" s="7">
        <v>43678</v>
      </c>
      <c r="BY23" s="23">
        <v>183.03</v>
      </c>
      <c r="BZ23" s="4">
        <v>5.3699999999999998E-2</v>
      </c>
      <c r="CA23" s="6">
        <f t="shared" si="50"/>
        <v>5.3713298791019159E-2</v>
      </c>
      <c r="CB23" s="22"/>
      <c r="CC23" s="7">
        <v>43678</v>
      </c>
      <c r="CD23" s="23">
        <v>16.79</v>
      </c>
      <c r="CE23" s="4">
        <v>-3.95E-2</v>
      </c>
      <c r="CF23" s="6">
        <f t="shared" si="51"/>
        <v>-3.9473684210526438E-2</v>
      </c>
      <c r="CG23" s="22"/>
      <c r="CH23" s="7">
        <v>43678</v>
      </c>
      <c r="CI23" s="23">
        <v>15</v>
      </c>
      <c r="CJ23" s="4">
        <v>-5.1799999999999999E-2</v>
      </c>
      <c r="CK23" s="6">
        <f t="shared" si="52"/>
        <v>-5.183312262958284E-2</v>
      </c>
      <c r="CL23" s="22"/>
      <c r="CM23" s="7">
        <v>43678</v>
      </c>
      <c r="CN23" s="23">
        <v>46.16</v>
      </c>
      <c r="CO23" s="4">
        <v>-1.5599999999999999E-2</v>
      </c>
      <c r="CP23" s="6">
        <f t="shared" si="53"/>
        <v>-1.5568351460865992E-2</v>
      </c>
      <c r="CQ23" s="22"/>
      <c r="CR23" s="7">
        <v>43678</v>
      </c>
      <c r="CS23" s="23">
        <v>186.66</v>
      </c>
      <c r="CT23" s="4">
        <v>6.2799999999999995E-2</v>
      </c>
      <c r="CU23" s="6">
        <f t="shared" si="54"/>
        <v>6.2802482491601586E-2</v>
      </c>
      <c r="CV23" s="22"/>
      <c r="CW23" s="7">
        <v>43678</v>
      </c>
      <c r="CX23" s="23">
        <v>191.2</v>
      </c>
      <c r="CY23" s="4">
        <v>-5.7999999999999996E-3</v>
      </c>
      <c r="CZ23" s="6">
        <f t="shared" si="55"/>
        <v>-5.7719307368312434E-3</v>
      </c>
      <c r="DA23" s="22"/>
      <c r="DB23" s="7">
        <v>43678</v>
      </c>
      <c r="DC23" s="23">
        <v>57.65</v>
      </c>
      <c r="DD23" s="4">
        <v>-6.7299999999999999E-2</v>
      </c>
      <c r="DE23" s="6">
        <f t="shared" si="56"/>
        <v>-6.7303025400420657E-2</v>
      </c>
      <c r="DF23" s="22"/>
      <c r="DG23" s="7">
        <v>43678</v>
      </c>
      <c r="DH23" s="23">
        <v>104.99</v>
      </c>
      <c r="DI23" s="4">
        <v>2.06E-2</v>
      </c>
      <c r="DJ23" s="6">
        <f t="shared" si="57"/>
        <v>2.0608535044230436E-2</v>
      </c>
      <c r="DK23" s="22"/>
      <c r="DL23" s="7">
        <v>43678</v>
      </c>
      <c r="DM23" s="23">
        <v>24.77</v>
      </c>
      <c r="DN23" s="4">
        <v>5.3100000000000001E-2</v>
      </c>
      <c r="DO23" s="6">
        <f t="shared" si="58"/>
        <v>5.3146258503401267E-2</v>
      </c>
      <c r="DQ23" s="7">
        <v>43678</v>
      </c>
      <c r="DR23" s="23">
        <v>35.44</v>
      </c>
      <c r="DS23" s="4">
        <v>-2.4500000000000001E-2</v>
      </c>
      <c r="DT23" s="6">
        <f t="shared" si="59"/>
        <v>-2.4497660335810641E-2</v>
      </c>
      <c r="DU23" s="24"/>
      <c r="DV23" s="7">
        <v>43678</v>
      </c>
      <c r="DW23" s="23">
        <v>84.32</v>
      </c>
      <c r="DX23" s="4">
        <v>0.13930000000000001</v>
      </c>
      <c r="DY23" s="6">
        <f t="shared" si="60"/>
        <v>0.13930549925685701</v>
      </c>
      <c r="DZ23" s="24"/>
      <c r="EA23" s="7">
        <v>43678</v>
      </c>
      <c r="EB23" s="23">
        <v>40.579000000000001</v>
      </c>
      <c r="EC23" s="4">
        <v>2.8899999999999999E-2</v>
      </c>
      <c r="ED23" s="6">
        <f t="shared" si="46"/>
        <v>2.885322380264187E-2</v>
      </c>
      <c r="EE23" s="24"/>
      <c r="EF23" s="7">
        <v>43678</v>
      </c>
      <c r="EG23" s="23">
        <v>81.819999999999993</v>
      </c>
      <c r="EH23" s="4">
        <v>2.3E-3</v>
      </c>
      <c r="EI23" s="6">
        <f t="shared" si="61"/>
        <v>2.327575646208474E-3</v>
      </c>
      <c r="EJ23" s="24"/>
      <c r="EK23" s="7">
        <v>43678</v>
      </c>
      <c r="EL23" s="23">
        <v>117.75</v>
      </c>
      <c r="EM23" s="4">
        <v>-2.2000000000000001E-3</v>
      </c>
      <c r="EN23" s="6">
        <f t="shared" si="62"/>
        <v>-2.2032031183798415E-3</v>
      </c>
      <c r="EO23" s="24"/>
      <c r="EP23" s="7">
        <v>43678</v>
      </c>
      <c r="EQ23" s="23">
        <v>36.75</v>
      </c>
      <c r="ER23" s="4">
        <v>4.6699999999999998E-2</v>
      </c>
      <c r="ES23" s="6">
        <f t="shared" si="63"/>
        <v>4.6710338934776434E-2</v>
      </c>
      <c r="ET23" s="24"/>
      <c r="EU23" s="7">
        <v>43678</v>
      </c>
      <c r="EV23" s="23">
        <v>240.62</v>
      </c>
      <c r="EW23" s="4">
        <v>0.35639999999999999</v>
      </c>
      <c r="EX23" s="6">
        <f t="shared" si="64"/>
        <v>0.35644624837927741</v>
      </c>
      <c r="EY23" s="24"/>
      <c r="EZ23" s="7">
        <v>43678</v>
      </c>
      <c r="FA23" s="23">
        <v>167.78</v>
      </c>
      <c r="FB23" s="4">
        <v>-2.8000000000000001E-2</v>
      </c>
      <c r="FC23" s="6">
        <f t="shared" si="65"/>
        <v>-2.8038465994670393E-2</v>
      </c>
      <c r="FD23" s="24"/>
      <c r="FE23" s="7">
        <v>43678</v>
      </c>
      <c r="FF23" s="23">
        <v>67.47</v>
      </c>
      <c r="FG23" s="4">
        <v>0.13020000000000001</v>
      </c>
      <c r="FH23" s="6">
        <f t="shared" si="66"/>
        <v>0.13015075376884414</v>
      </c>
      <c r="FI23" s="24"/>
      <c r="FJ23" s="7">
        <v>43678</v>
      </c>
      <c r="FK23" s="23">
        <v>12.52</v>
      </c>
      <c r="FL23" s="4">
        <v>9.6299999999999997E-2</v>
      </c>
      <c r="FM23" s="6">
        <f t="shared" si="67"/>
        <v>9.6322241681260912E-2</v>
      </c>
      <c r="FN23" s="24"/>
      <c r="FO23" s="7">
        <v>43678</v>
      </c>
      <c r="FP23" s="23">
        <v>56.73</v>
      </c>
      <c r="FQ23" s="4">
        <v>3.3999999999999998E-3</v>
      </c>
      <c r="FR23" s="6">
        <f t="shared" si="68"/>
        <v>3.3604527767951489E-3</v>
      </c>
    </row>
    <row r="24" spans="1:16379">
      <c r="A24" s="7">
        <v>43647</v>
      </c>
      <c r="B24" s="3">
        <v>16.600000000000001</v>
      </c>
      <c r="C24" s="4">
        <v>-0.1198</v>
      </c>
      <c r="D24" s="6">
        <f t="shared" si="1"/>
        <v>-0.11983032873806988</v>
      </c>
      <c r="F24" s="7">
        <v>43647</v>
      </c>
      <c r="G24" s="3">
        <v>39.07</v>
      </c>
      <c r="H24" s="4">
        <v>3.4099999999999998E-2</v>
      </c>
      <c r="I24" s="6">
        <f t="shared" si="35"/>
        <v>3.4145050291159322E-2</v>
      </c>
      <c r="K24" s="7">
        <v>43647</v>
      </c>
      <c r="L24" s="3">
        <v>13.48</v>
      </c>
      <c r="M24" s="4">
        <v>-3.5099999999999999E-2</v>
      </c>
      <c r="N24" s="6">
        <f t="shared" si="36"/>
        <v>-3.5075161059413044E-2</v>
      </c>
      <c r="P24" s="7">
        <v>43647</v>
      </c>
      <c r="Q24" s="3">
        <v>101.93</v>
      </c>
      <c r="R24" s="4">
        <v>-1.8499999999999999E-2</v>
      </c>
      <c r="S24" s="6">
        <f t="shared" si="37"/>
        <v>-1.8488204140587265E-2</v>
      </c>
      <c r="U24" s="7">
        <v>43647</v>
      </c>
      <c r="V24" s="3">
        <v>290.95</v>
      </c>
      <c r="W24" s="4">
        <v>-6.4699999999999994E-2</v>
      </c>
      <c r="X24" s="6">
        <f t="shared" si="38"/>
        <v>-6.4740107364428257E-2</v>
      </c>
      <c r="Z24" s="7">
        <v>43647</v>
      </c>
      <c r="AA24" s="3">
        <v>36.049999999999997</v>
      </c>
      <c r="AB24" s="4">
        <v>-6.0999999999999999E-2</v>
      </c>
      <c r="AC24" s="6">
        <f t="shared" si="39"/>
        <v>-6.0953373274290269E-2</v>
      </c>
      <c r="AE24" s="7">
        <v>43647</v>
      </c>
      <c r="AF24" s="3">
        <v>28.43</v>
      </c>
      <c r="AG24" s="4">
        <v>-4.53E-2</v>
      </c>
      <c r="AH24" s="6">
        <f t="shared" si="40"/>
        <v>-4.533243787777036E-2</v>
      </c>
      <c r="AJ24" s="7">
        <v>43647</v>
      </c>
      <c r="AK24" s="3">
        <v>36.5</v>
      </c>
      <c r="AL24" s="4">
        <v>-8.8200000000000001E-2</v>
      </c>
      <c r="AM24" s="6">
        <f t="shared" si="41"/>
        <v>-8.8183862103422453E-2</v>
      </c>
      <c r="AO24" s="7">
        <v>43647</v>
      </c>
      <c r="AP24" s="3">
        <v>31.96</v>
      </c>
      <c r="AQ24" s="4">
        <v>-0.1203</v>
      </c>
      <c r="AR24" s="6">
        <f t="shared" si="42"/>
        <v>-0.12028626479493525</v>
      </c>
      <c r="AT24" s="7">
        <v>43647</v>
      </c>
      <c r="AU24" s="3">
        <v>6.81</v>
      </c>
      <c r="AV24" s="4">
        <v>-0.15820000000000001</v>
      </c>
      <c r="AW24" s="6">
        <f t="shared" si="43"/>
        <v>-0.1582200247218789</v>
      </c>
      <c r="AY24" s="7">
        <v>43647</v>
      </c>
      <c r="AZ24" s="3">
        <v>117.76</v>
      </c>
      <c r="BA24" s="4">
        <v>-1.1299999999999999E-2</v>
      </c>
      <c r="BB24" s="6">
        <f t="shared" si="44"/>
        <v>-1.1334060952061072E-2</v>
      </c>
      <c r="BD24" s="7">
        <v>43647</v>
      </c>
      <c r="BE24" s="3">
        <v>28.22</v>
      </c>
      <c r="BF24" s="4">
        <v>-3.8999999999999998E-3</v>
      </c>
      <c r="BG24" s="6">
        <f t="shared" si="45"/>
        <v>-3.8828097423226062E-3</v>
      </c>
      <c r="BI24" s="7">
        <v>43647</v>
      </c>
      <c r="BJ24" s="23">
        <v>93.08</v>
      </c>
      <c r="BK24" s="4">
        <v>-0.129</v>
      </c>
      <c r="BL24" s="6">
        <f t="shared" si="47"/>
        <v>-0.12903527650416402</v>
      </c>
      <c r="BM24" s="22"/>
      <c r="BN24" s="7">
        <v>43647</v>
      </c>
      <c r="BO24" s="23">
        <v>1294.53</v>
      </c>
      <c r="BP24" s="4">
        <v>3.0700000000000002E-2</v>
      </c>
      <c r="BQ24" s="6">
        <f t="shared" si="48"/>
        <v>3.0668545632598354E-2</v>
      </c>
      <c r="BR24" s="22"/>
      <c r="BS24" s="7">
        <v>43647</v>
      </c>
      <c r="BT24" s="23">
        <v>96.48</v>
      </c>
      <c r="BU24" s="4">
        <v>-0.1336</v>
      </c>
      <c r="BV24" s="6">
        <f t="shared" si="49"/>
        <v>-0.13362068965517238</v>
      </c>
      <c r="BW24" s="22"/>
      <c r="BX24" s="7">
        <v>43647</v>
      </c>
      <c r="BY24" s="23">
        <v>173.7</v>
      </c>
      <c r="BZ24" s="4">
        <v>-6.59E-2</v>
      </c>
      <c r="CA24" s="6">
        <f t="shared" si="50"/>
        <v>-6.5928156592815812E-2</v>
      </c>
      <c r="CB24" s="22"/>
      <c r="CC24" s="7">
        <v>43647</v>
      </c>
      <c r="CD24" s="23">
        <v>17.48</v>
      </c>
      <c r="CE24" s="4">
        <v>3.3999999999999998E-3</v>
      </c>
      <c r="CF24" s="6">
        <f t="shared" si="51"/>
        <v>3.4443168771525201E-3</v>
      </c>
      <c r="CG24" s="22"/>
      <c r="CH24" s="7">
        <v>43647</v>
      </c>
      <c r="CI24" s="23">
        <v>15.82</v>
      </c>
      <c r="CJ24" s="4">
        <v>-4.6399999999999997E-2</v>
      </c>
      <c r="CK24" s="6">
        <f t="shared" si="52"/>
        <v>-4.641350210970463E-2</v>
      </c>
      <c r="CL24" s="22"/>
      <c r="CM24" s="7">
        <v>43647</v>
      </c>
      <c r="CN24" s="23">
        <v>46.89</v>
      </c>
      <c r="CO24" s="4">
        <v>-0.08</v>
      </c>
      <c r="CP24" s="6">
        <f t="shared" si="53"/>
        <v>-8.0047086521483179E-2</v>
      </c>
      <c r="CQ24" s="22"/>
      <c r="CR24" s="7">
        <v>43647</v>
      </c>
      <c r="CS24" s="23">
        <v>175.63</v>
      </c>
      <c r="CT24" s="4">
        <v>-2.5000000000000001E-2</v>
      </c>
      <c r="CU24" s="6">
        <f t="shared" si="54"/>
        <v>-2.5036083046519275E-2</v>
      </c>
      <c r="CV24" s="22"/>
      <c r="CW24" s="7">
        <v>43647</v>
      </c>
      <c r="CX24" s="23">
        <v>192.31</v>
      </c>
      <c r="CY24" s="4">
        <v>-3.7900000000000003E-2</v>
      </c>
      <c r="CZ24" s="6">
        <f t="shared" si="55"/>
        <v>-3.7872723634180483E-2</v>
      </c>
      <c r="DA24" s="22"/>
      <c r="DB24" s="7">
        <v>43647</v>
      </c>
      <c r="DC24" s="23">
        <v>61.81</v>
      </c>
      <c r="DD24" s="4">
        <v>-0.13619999999999999</v>
      </c>
      <c r="DE24" s="6">
        <f t="shared" si="56"/>
        <v>-0.13624930128563439</v>
      </c>
      <c r="DF24" s="22"/>
      <c r="DG24" s="7">
        <v>43647</v>
      </c>
      <c r="DH24" s="23">
        <v>102.87</v>
      </c>
      <c r="DI24" s="4">
        <v>-2.7799999999999998E-2</v>
      </c>
      <c r="DJ24" s="6">
        <f t="shared" si="57"/>
        <v>-2.7785653529912135E-2</v>
      </c>
      <c r="DK24" s="22"/>
      <c r="DL24" s="7">
        <v>43647</v>
      </c>
      <c r="DM24" s="23">
        <v>23.52</v>
      </c>
      <c r="DN24" s="4">
        <v>-0.1527</v>
      </c>
      <c r="DO24" s="6">
        <f t="shared" si="58"/>
        <v>-0.1527377521613833</v>
      </c>
      <c r="DQ24" s="7">
        <v>43647</v>
      </c>
      <c r="DR24" s="23">
        <v>36.33</v>
      </c>
      <c r="DS24" s="4">
        <v>0.1196</v>
      </c>
      <c r="DT24" s="6">
        <f t="shared" si="59"/>
        <v>0.11956856702619399</v>
      </c>
      <c r="DU24" s="24"/>
      <c r="DV24" s="7">
        <v>43647</v>
      </c>
      <c r="DW24" s="23">
        <v>74.010000000000005</v>
      </c>
      <c r="DX24" s="4">
        <v>-1.83E-2</v>
      </c>
      <c r="DY24" s="6">
        <f t="shared" si="60"/>
        <v>-1.8304814962196516E-2</v>
      </c>
      <c r="DZ24" s="24"/>
      <c r="EA24" s="7">
        <v>43647</v>
      </c>
      <c r="EB24" s="23">
        <v>39.441000000000003</v>
      </c>
      <c r="EC24" s="4">
        <v>0.1172</v>
      </c>
      <c r="ED24" s="6">
        <f t="shared" si="46"/>
        <v>0.11724548184238862</v>
      </c>
      <c r="EE24" s="24"/>
      <c r="EF24" s="7">
        <v>43647</v>
      </c>
      <c r="EG24" s="23">
        <v>81.63</v>
      </c>
      <c r="EH24" s="4">
        <v>1.1000000000000001E-3</v>
      </c>
      <c r="EI24" s="6">
        <f t="shared" si="61"/>
        <v>1.103752759381766E-3</v>
      </c>
      <c r="EJ24" s="24"/>
      <c r="EK24" s="7">
        <v>43647</v>
      </c>
      <c r="EL24" s="23">
        <v>118.01</v>
      </c>
      <c r="EM24" s="4">
        <v>6.7000000000000002E-3</v>
      </c>
      <c r="EN24" s="6">
        <f t="shared" si="62"/>
        <v>6.7394642552465987E-3</v>
      </c>
      <c r="EO24" s="24"/>
      <c r="EP24" s="7">
        <v>43647</v>
      </c>
      <c r="EQ24" s="23">
        <v>35.11</v>
      </c>
      <c r="ER24" s="4">
        <v>-0.12859999999999999</v>
      </c>
      <c r="ES24" s="6">
        <f t="shared" si="63"/>
        <v>-0.12856788284934226</v>
      </c>
      <c r="ET24" s="24"/>
      <c r="EU24" s="7">
        <v>43647</v>
      </c>
      <c r="EV24" s="23">
        <v>177.39</v>
      </c>
      <c r="EW24" s="4">
        <v>-0.28560000000000002</v>
      </c>
      <c r="EX24" s="6">
        <f t="shared" si="64"/>
        <v>-0.28558195730970609</v>
      </c>
      <c r="EY24" s="24"/>
      <c r="EZ24" s="7">
        <v>43647</v>
      </c>
      <c r="FA24" s="23">
        <v>172.62</v>
      </c>
      <c r="FB24" s="4">
        <v>-9.5000000000000001E-2</v>
      </c>
      <c r="FC24" s="6">
        <f t="shared" si="65"/>
        <v>-9.4950977822052043E-2</v>
      </c>
      <c r="FD24" s="24"/>
      <c r="FE24" s="7">
        <v>43647</v>
      </c>
      <c r="FF24" s="23">
        <v>59.7</v>
      </c>
      <c r="FG24" s="4">
        <v>0.10780000000000001</v>
      </c>
      <c r="FH24" s="6">
        <f t="shared" si="66"/>
        <v>0.10781221005752463</v>
      </c>
      <c r="FI24" s="24"/>
      <c r="FJ24" s="7">
        <v>43647</v>
      </c>
      <c r="FK24" s="23">
        <v>11.42</v>
      </c>
      <c r="FL24" s="4">
        <v>-3.3799999999999997E-2</v>
      </c>
      <c r="FM24" s="6">
        <f t="shared" si="67"/>
        <v>-3.384094754653133E-2</v>
      </c>
      <c r="FN24" s="24"/>
      <c r="FO24" s="7">
        <v>43647</v>
      </c>
      <c r="FP24" s="23">
        <v>56.54</v>
      </c>
      <c r="FQ24" s="4">
        <v>7.9000000000000001E-2</v>
      </c>
      <c r="FR24" s="6">
        <f t="shared" si="68"/>
        <v>7.9007633587786272E-2</v>
      </c>
    </row>
    <row r="25" spans="1:16379">
      <c r="A25" s="7">
        <v>43617</v>
      </c>
      <c r="B25" s="3">
        <v>18.86</v>
      </c>
      <c r="C25" s="4">
        <v>5.4199999999999998E-2</v>
      </c>
      <c r="D25" s="6">
        <f t="shared" si="1"/>
        <v>5.4220234768026766E-2</v>
      </c>
      <c r="F25" s="7">
        <v>43617</v>
      </c>
      <c r="G25" s="3">
        <v>37.78</v>
      </c>
      <c r="H25" s="4">
        <v>-1.3299999999999999E-2</v>
      </c>
      <c r="I25" s="6">
        <f t="shared" si="35"/>
        <v>-1.3319404544267381E-2</v>
      </c>
      <c r="K25" s="7">
        <v>43617</v>
      </c>
      <c r="L25" s="3">
        <v>13.97</v>
      </c>
      <c r="M25" s="4">
        <v>1.3100000000000001E-2</v>
      </c>
      <c r="N25" s="6">
        <f t="shared" si="36"/>
        <v>1.305293691080504E-2</v>
      </c>
      <c r="P25" s="7">
        <v>43617</v>
      </c>
      <c r="Q25" s="3">
        <v>103.85</v>
      </c>
      <c r="R25" s="4">
        <v>-8.6E-3</v>
      </c>
      <c r="S25" s="6">
        <f t="shared" si="37"/>
        <v>-8.5918854415275008E-3</v>
      </c>
      <c r="U25" s="7">
        <v>43617</v>
      </c>
      <c r="V25" s="3">
        <v>311.08999999999997</v>
      </c>
      <c r="W25" s="4">
        <v>5.4000000000000003E-3</v>
      </c>
      <c r="X25" s="6">
        <f t="shared" si="38"/>
        <v>5.3647028407070039E-3</v>
      </c>
      <c r="Z25" s="7">
        <v>43617</v>
      </c>
      <c r="AA25" s="3">
        <v>38.39</v>
      </c>
      <c r="AB25" s="4">
        <v>1.37E-2</v>
      </c>
      <c r="AC25" s="6">
        <f t="shared" si="39"/>
        <v>1.3731185635067419E-2</v>
      </c>
      <c r="AE25" s="7">
        <v>43617</v>
      </c>
      <c r="AF25" s="3">
        <v>29.78</v>
      </c>
      <c r="AG25" s="4">
        <v>4.0899999999999999E-2</v>
      </c>
      <c r="AH25" s="6">
        <f t="shared" si="40"/>
        <v>4.0894792030758534E-2</v>
      </c>
      <c r="AJ25" s="7">
        <v>43617</v>
      </c>
      <c r="AK25" s="3">
        <v>40.03</v>
      </c>
      <c r="AL25" s="4">
        <v>1.21E-2</v>
      </c>
      <c r="AM25" s="6">
        <f t="shared" si="41"/>
        <v>1.2136536030341441E-2</v>
      </c>
      <c r="AO25" s="7">
        <v>43617</v>
      </c>
      <c r="AP25" s="3">
        <v>36.33</v>
      </c>
      <c r="AQ25" s="4">
        <v>1.6500000000000001E-2</v>
      </c>
      <c r="AR25" s="6">
        <f t="shared" si="42"/>
        <v>1.6508114157806276E-2</v>
      </c>
      <c r="AT25" s="7">
        <v>43617</v>
      </c>
      <c r="AU25" s="3">
        <v>8.09</v>
      </c>
      <c r="AV25" s="4">
        <v>1.2500000000000001E-2</v>
      </c>
      <c r="AW25" s="6">
        <f t="shared" si="43"/>
        <v>1.2515644555694573E-2</v>
      </c>
      <c r="AY25" s="7">
        <v>43617</v>
      </c>
      <c r="AZ25" s="3">
        <v>119.11</v>
      </c>
      <c r="BA25" s="4">
        <v>-2.5399999999999999E-2</v>
      </c>
      <c r="BB25" s="6">
        <f t="shared" si="44"/>
        <v>-2.5445917198494514E-2</v>
      </c>
      <c r="BD25" s="7">
        <v>43617</v>
      </c>
      <c r="BE25" s="3">
        <v>28.33</v>
      </c>
      <c r="BF25" s="4">
        <v>1.32E-2</v>
      </c>
      <c r="BG25" s="6">
        <f t="shared" si="45"/>
        <v>1.323319027181679E-2</v>
      </c>
      <c r="BI25" s="7">
        <v>43617</v>
      </c>
      <c r="BJ25" s="23">
        <v>106.87</v>
      </c>
      <c r="BK25" s="4">
        <v>-2.5999999999999999E-2</v>
      </c>
      <c r="BL25" s="6">
        <f t="shared" si="47"/>
        <v>-2.5975209624498619E-2</v>
      </c>
      <c r="BM25" s="22"/>
      <c r="BN25" s="7">
        <v>43617</v>
      </c>
      <c r="BO25" s="23">
        <v>1256.01</v>
      </c>
      <c r="BP25" s="4">
        <v>4.8500000000000001E-2</v>
      </c>
      <c r="BQ25" s="6">
        <f t="shared" si="48"/>
        <v>4.8474881880561593E-2</v>
      </c>
      <c r="BR25" s="22"/>
      <c r="BS25" s="7">
        <v>43617</v>
      </c>
      <c r="BT25" s="23">
        <v>111.36</v>
      </c>
      <c r="BU25" s="4">
        <v>4.48E-2</v>
      </c>
      <c r="BV25" s="6">
        <f t="shared" si="49"/>
        <v>4.475091471995496E-2</v>
      </c>
      <c r="BW25" s="22"/>
      <c r="BX25" s="7">
        <v>43617</v>
      </c>
      <c r="BY25" s="23">
        <v>185.96</v>
      </c>
      <c r="BZ25" s="4">
        <v>2.06E-2</v>
      </c>
      <c r="CA25" s="6">
        <f t="shared" si="50"/>
        <v>2.0636663007683964E-2</v>
      </c>
      <c r="CB25" s="22"/>
      <c r="CC25" s="7">
        <v>43617</v>
      </c>
      <c r="CD25" s="23">
        <v>17.420000000000002</v>
      </c>
      <c r="CE25" s="4">
        <v>5.5800000000000002E-2</v>
      </c>
      <c r="CF25" s="6">
        <f t="shared" si="51"/>
        <v>5.5757575757575895E-2</v>
      </c>
      <c r="CG25" s="22"/>
      <c r="CH25" s="7">
        <v>43617</v>
      </c>
      <c r="CI25" s="23">
        <v>16.59</v>
      </c>
      <c r="CJ25" s="4">
        <v>-3.8300000000000001E-2</v>
      </c>
      <c r="CK25" s="6">
        <f t="shared" si="52"/>
        <v>-3.8260869565217348E-2</v>
      </c>
      <c r="CL25" s="22"/>
      <c r="CM25" s="7">
        <v>43617</v>
      </c>
      <c r="CN25" s="23">
        <v>50.97</v>
      </c>
      <c r="CO25" s="4">
        <v>4.2099999999999999E-2</v>
      </c>
      <c r="CP25" s="6">
        <f t="shared" si="53"/>
        <v>4.2118176242077254E-2</v>
      </c>
      <c r="CQ25" s="22"/>
      <c r="CR25" s="7">
        <v>43617</v>
      </c>
      <c r="CS25" s="23">
        <v>180.14</v>
      </c>
      <c r="CT25" s="4">
        <v>-3.6200000000000003E-2</v>
      </c>
      <c r="CU25" s="6">
        <f t="shared" si="54"/>
        <v>-3.6220640950189953E-2</v>
      </c>
      <c r="CV25" s="22"/>
      <c r="CW25" s="7">
        <v>43617</v>
      </c>
      <c r="CX25" s="23">
        <v>199.88</v>
      </c>
      <c r="CY25" s="4">
        <v>4.2200000000000001E-2</v>
      </c>
      <c r="CZ25" s="6">
        <f t="shared" si="55"/>
        <v>4.2181552739976036E-2</v>
      </c>
      <c r="DA25" s="22"/>
      <c r="DB25" s="7">
        <v>43617</v>
      </c>
      <c r="DC25" s="23">
        <v>71.56</v>
      </c>
      <c r="DD25" s="4">
        <v>-7.9000000000000008E-3</v>
      </c>
      <c r="DE25" s="6">
        <f t="shared" si="56"/>
        <v>-7.9023984472479381E-3</v>
      </c>
      <c r="DF25" s="22"/>
      <c r="DG25" s="7">
        <v>43617</v>
      </c>
      <c r="DH25" s="23">
        <v>105.81</v>
      </c>
      <c r="DI25" s="4">
        <v>2.7000000000000001E-3</v>
      </c>
      <c r="DJ25" s="6">
        <f t="shared" si="57"/>
        <v>2.6532739505353842E-3</v>
      </c>
      <c r="DK25" s="22"/>
      <c r="DL25" s="7">
        <v>43617</v>
      </c>
      <c r="DM25" s="23">
        <v>27.76</v>
      </c>
      <c r="DN25" s="4">
        <v>6.7699999999999996E-2</v>
      </c>
      <c r="DO25" s="6">
        <f t="shared" si="58"/>
        <v>6.7692307692307718E-2</v>
      </c>
      <c r="DQ25" s="7">
        <v>43617</v>
      </c>
      <c r="DR25" s="23">
        <v>32.450000000000003</v>
      </c>
      <c r="DS25" s="4">
        <v>-0.111</v>
      </c>
      <c r="DT25" s="6">
        <f t="shared" si="59"/>
        <v>-0.11095890410958896</v>
      </c>
      <c r="DU25" s="24"/>
      <c r="DV25" s="7">
        <v>43617</v>
      </c>
      <c r="DW25" s="23">
        <v>75.39</v>
      </c>
      <c r="DX25" s="4">
        <v>-5.5300000000000002E-2</v>
      </c>
      <c r="DY25" s="6">
        <f t="shared" si="60"/>
        <v>-5.5263157894736799E-2</v>
      </c>
      <c r="DZ25" s="24"/>
      <c r="EA25" s="7">
        <v>43617</v>
      </c>
      <c r="EB25" s="23">
        <v>35.302</v>
      </c>
      <c r="EC25" s="4">
        <v>9.5999999999999992E-3</v>
      </c>
      <c r="ED25" s="6">
        <f t="shared" si="46"/>
        <v>9.6382096382095286E-3</v>
      </c>
      <c r="EE25" s="24"/>
      <c r="EF25" s="7">
        <v>43617</v>
      </c>
      <c r="EG25" s="23">
        <v>81.540000000000006</v>
      </c>
      <c r="EH25" s="4">
        <v>7.7999999999999996E-3</v>
      </c>
      <c r="EI25" s="6">
        <f t="shared" si="61"/>
        <v>7.7864293659622996E-3</v>
      </c>
      <c r="EJ25" s="24"/>
      <c r="EK25" s="7">
        <v>43617</v>
      </c>
      <c r="EL25" s="23">
        <v>117.22</v>
      </c>
      <c r="EM25" s="4">
        <v>-8.9999999999999993E-3</v>
      </c>
      <c r="EN25" s="6">
        <f t="shared" si="62"/>
        <v>-9.0455659819089294E-3</v>
      </c>
      <c r="EO25" s="24"/>
      <c r="EP25" s="7">
        <v>43617</v>
      </c>
      <c r="EQ25" s="23">
        <v>40.29</v>
      </c>
      <c r="ER25" s="4">
        <v>-1.7600000000000001E-2</v>
      </c>
      <c r="ES25" s="6">
        <f t="shared" si="63"/>
        <v>-1.7556693489392806E-2</v>
      </c>
      <c r="ET25" s="24"/>
      <c r="EU25" s="7">
        <v>43617</v>
      </c>
      <c r="EV25" s="23">
        <v>248.3</v>
      </c>
      <c r="EW25" s="4">
        <v>0.13220000000000001</v>
      </c>
      <c r="EX25" s="6">
        <f t="shared" si="64"/>
        <v>0.1321873147599289</v>
      </c>
      <c r="EY25" s="24"/>
      <c r="EZ25" s="7">
        <v>43617</v>
      </c>
      <c r="FA25" s="23">
        <v>190.73</v>
      </c>
      <c r="FB25" s="4">
        <v>-4.0000000000000002E-4</v>
      </c>
      <c r="FC25" s="6">
        <f t="shared" si="65"/>
        <v>-4.1926523767104711E-4</v>
      </c>
      <c r="FD25" s="24"/>
      <c r="FE25" s="7">
        <v>43617</v>
      </c>
      <c r="FF25" s="23">
        <v>53.89</v>
      </c>
      <c r="FG25" s="4">
        <v>3.2199999999999999E-2</v>
      </c>
      <c r="FH25" s="6">
        <f t="shared" si="66"/>
        <v>3.2177743727255306E-2</v>
      </c>
      <c r="FI25" s="24"/>
      <c r="FJ25" s="7">
        <v>43617</v>
      </c>
      <c r="FK25" s="23">
        <v>11.82</v>
      </c>
      <c r="FL25" s="4">
        <v>-7.5800000000000006E-2</v>
      </c>
      <c r="FM25" s="6">
        <f t="shared" si="67"/>
        <v>-7.5840500390930335E-2</v>
      </c>
      <c r="FN25" s="24"/>
      <c r="FO25" s="7">
        <v>43617</v>
      </c>
      <c r="FP25" s="23">
        <v>52.4</v>
      </c>
      <c r="FQ25" s="4">
        <v>-5.2600000000000001E-2</v>
      </c>
      <c r="FR25" s="6">
        <f t="shared" si="68"/>
        <v>-5.2612547459772258E-2</v>
      </c>
    </row>
    <row r="26" spans="1:16379">
      <c r="A26" s="7">
        <v>43586</v>
      </c>
      <c r="B26" s="3">
        <v>17.89</v>
      </c>
      <c r="C26" s="4">
        <v>-6.6299999999999998E-2</v>
      </c>
      <c r="D26" s="6">
        <f t="shared" si="1"/>
        <v>-6.6283924843423783E-2</v>
      </c>
      <c r="F26" s="7">
        <v>43586</v>
      </c>
      <c r="G26" s="3">
        <v>38.29</v>
      </c>
      <c r="H26" s="4">
        <v>-9.6500000000000002E-2</v>
      </c>
      <c r="I26" s="6">
        <f t="shared" si="35"/>
        <v>-9.6507786691835851E-2</v>
      </c>
      <c r="K26" s="7">
        <v>43586</v>
      </c>
      <c r="L26" s="3">
        <v>13.79</v>
      </c>
      <c r="M26" s="4">
        <v>-2.3400000000000001E-2</v>
      </c>
      <c r="N26" s="6">
        <f t="shared" si="36"/>
        <v>-2.3371104815864029E-2</v>
      </c>
      <c r="P26" s="7">
        <v>43586</v>
      </c>
      <c r="Q26" s="3">
        <v>104.75</v>
      </c>
      <c r="R26" s="4">
        <v>-2.6599999999999999E-2</v>
      </c>
      <c r="S26" s="6">
        <f t="shared" si="37"/>
        <v>-2.6577455626800479E-2</v>
      </c>
      <c r="U26" s="7">
        <v>43586</v>
      </c>
      <c r="V26" s="3">
        <v>309.43</v>
      </c>
      <c r="W26" s="4">
        <v>-8.9999999999999993E-3</v>
      </c>
      <c r="X26" s="6">
        <f t="shared" si="38"/>
        <v>-9.0312249799839647E-3</v>
      </c>
      <c r="Z26" s="7">
        <v>43586</v>
      </c>
      <c r="AA26" s="3">
        <v>37.869999999999997</v>
      </c>
      <c r="AB26" s="4">
        <v>-7.0900000000000005E-2</v>
      </c>
      <c r="AC26" s="6">
        <f t="shared" si="39"/>
        <v>-7.0902845927379804E-2</v>
      </c>
      <c r="AE26" s="7">
        <v>43586</v>
      </c>
      <c r="AF26" s="3">
        <v>28.61</v>
      </c>
      <c r="AG26" s="4">
        <v>-3.9600000000000003E-2</v>
      </c>
      <c r="AH26" s="6">
        <f t="shared" si="40"/>
        <v>-3.9610607586438397E-2</v>
      </c>
      <c r="AJ26" s="7">
        <v>43586</v>
      </c>
      <c r="AK26" s="3">
        <v>39.549999999999997</v>
      </c>
      <c r="AL26" s="4">
        <v>-6.3200000000000006E-2</v>
      </c>
      <c r="AM26" s="6">
        <f t="shared" si="41"/>
        <v>-6.3240170535291379E-2</v>
      </c>
      <c r="AO26" s="7">
        <v>43586</v>
      </c>
      <c r="AP26" s="3">
        <v>35.74</v>
      </c>
      <c r="AQ26" s="4">
        <v>-8.5699999999999998E-2</v>
      </c>
      <c r="AR26" s="6">
        <f t="shared" si="42"/>
        <v>-8.5699667434126409E-2</v>
      </c>
      <c r="AT26" s="7">
        <v>43586</v>
      </c>
      <c r="AU26" s="3">
        <v>7.99</v>
      </c>
      <c r="AV26" s="4">
        <v>-8.8900000000000007E-2</v>
      </c>
      <c r="AW26" s="6">
        <f t="shared" si="43"/>
        <v>-8.8939566704674955E-2</v>
      </c>
      <c r="AY26" s="7">
        <v>43586</v>
      </c>
      <c r="AZ26" s="3">
        <v>122.22</v>
      </c>
      <c r="BA26" s="4">
        <v>1.0699999999999999E-2</v>
      </c>
      <c r="BB26" s="6">
        <f t="shared" si="44"/>
        <v>1.0667328206400331E-2</v>
      </c>
      <c r="BD26" s="7">
        <v>43586</v>
      </c>
      <c r="BE26" s="3">
        <v>27.96</v>
      </c>
      <c r="BF26" s="4">
        <v>-6.4600000000000005E-2</v>
      </c>
      <c r="BG26" s="6">
        <f t="shared" si="45"/>
        <v>-6.4570090331214441E-2</v>
      </c>
      <c r="BI26" s="7">
        <v>43586</v>
      </c>
      <c r="BJ26" s="23">
        <v>109.72</v>
      </c>
      <c r="BK26" s="4">
        <v>-0.10589999999999999</v>
      </c>
      <c r="BL26" s="6">
        <f t="shared" si="47"/>
        <v>-0.10593220338983056</v>
      </c>
      <c r="BM26" s="22"/>
      <c r="BN26" s="7">
        <v>43586</v>
      </c>
      <c r="BO26" s="23">
        <v>1197.94</v>
      </c>
      <c r="BP26" s="4">
        <v>0.18790000000000001</v>
      </c>
      <c r="BQ26" s="6">
        <f t="shared" si="48"/>
        <v>0.18793756569683273</v>
      </c>
      <c r="BR26" s="22"/>
      <c r="BS26" s="7">
        <v>43586</v>
      </c>
      <c r="BT26" s="23">
        <v>106.59</v>
      </c>
      <c r="BU26" s="4">
        <v>-0.1105</v>
      </c>
      <c r="BV26" s="6">
        <f t="shared" si="49"/>
        <v>-0.11048986063590083</v>
      </c>
      <c r="BW26" s="22"/>
      <c r="BX26" s="7">
        <v>43586</v>
      </c>
      <c r="BY26" s="23">
        <v>182.2</v>
      </c>
      <c r="BZ26" s="4">
        <v>-1.4800000000000001E-2</v>
      </c>
      <c r="CA26" s="6">
        <f t="shared" si="50"/>
        <v>-1.4762342507976034E-2</v>
      </c>
      <c r="CB26" s="22"/>
      <c r="CC26" s="7">
        <v>43586</v>
      </c>
      <c r="CD26" s="23">
        <v>16.5</v>
      </c>
      <c r="CE26" s="4">
        <v>8.2699999999999996E-2</v>
      </c>
      <c r="CF26" s="6">
        <f t="shared" si="51"/>
        <v>8.2677165354330784E-2</v>
      </c>
      <c r="CG26" s="22"/>
      <c r="CH26" s="7">
        <v>43586</v>
      </c>
      <c r="CI26" s="23">
        <v>17.25</v>
      </c>
      <c r="CJ26" s="4">
        <v>-2.8999999999999998E-3</v>
      </c>
      <c r="CK26" s="6">
        <f t="shared" si="52"/>
        <v>-2.8901734104046506E-3</v>
      </c>
      <c r="CL26" s="22"/>
      <c r="CM26" s="7">
        <v>43586</v>
      </c>
      <c r="CN26" s="23">
        <v>48.91</v>
      </c>
      <c r="CO26" s="4">
        <v>-0.1202</v>
      </c>
      <c r="CP26" s="6">
        <f t="shared" si="53"/>
        <v>-0.1201654973916173</v>
      </c>
      <c r="CQ26" s="22"/>
      <c r="CR26" s="7">
        <v>43586</v>
      </c>
      <c r="CS26" s="23">
        <v>186.91</v>
      </c>
      <c r="CT26" s="4">
        <v>-1.3599999999999999E-2</v>
      </c>
      <c r="CU26" s="6">
        <f t="shared" si="54"/>
        <v>-1.3615494221331015E-2</v>
      </c>
      <c r="CV26" s="22"/>
      <c r="CW26" s="7">
        <v>43586</v>
      </c>
      <c r="CX26" s="23">
        <v>191.79</v>
      </c>
      <c r="CY26" s="4">
        <v>1.0999999999999999E-2</v>
      </c>
      <c r="CZ26" s="6">
        <f t="shared" si="55"/>
        <v>1.1017395888244685E-2</v>
      </c>
      <c r="DA26" s="22"/>
      <c r="DB26" s="7">
        <v>43586</v>
      </c>
      <c r="DC26" s="23">
        <v>72.13</v>
      </c>
      <c r="DD26" s="4">
        <v>-1.8800000000000001E-2</v>
      </c>
      <c r="DE26" s="6">
        <f t="shared" si="56"/>
        <v>-1.8772956060400081E-2</v>
      </c>
      <c r="DF26" s="22"/>
      <c r="DG26" s="7">
        <v>43586</v>
      </c>
      <c r="DH26" s="23">
        <v>105.53</v>
      </c>
      <c r="DI26" s="4">
        <v>-2.8500000000000001E-2</v>
      </c>
      <c r="DJ26" s="6">
        <f t="shared" si="57"/>
        <v>-2.853723649084039E-2</v>
      </c>
      <c r="DK26" s="22"/>
      <c r="DL26" s="7">
        <v>43586</v>
      </c>
      <c r="DM26" s="23">
        <v>26</v>
      </c>
      <c r="DN26" s="4">
        <v>-0.1041</v>
      </c>
      <c r="DO26" s="6">
        <f t="shared" si="58"/>
        <v>-0.10406616126809098</v>
      </c>
      <c r="DQ26" s="7">
        <v>43586</v>
      </c>
      <c r="DR26" s="23">
        <v>36.5</v>
      </c>
      <c r="DS26" s="4">
        <v>-5.3400000000000003E-2</v>
      </c>
      <c r="DT26" s="6">
        <f t="shared" si="59"/>
        <v>-5.3423236514522875E-2</v>
      </c>
      <c r="DU26" s="24"/>
      <c r="DV26" s="7">
        <v>43586</v>
      </c>
      <c r="DW26" s="23">
        <v>79.8</v>
      </c>
      <c r="DX26" s="4">
        <v>-3.6999999999999998E-2</v>
      </c>
      <c r="DY26" s="6">
        <f t="shared" si="60"/>
        <v>-3.7045975624472149E-2</v>
      </c>
      <c r="DZ26" s="24"/>
      <c r="EA26" s="7">
        <v>43586</v>
      </c>
      <c r="EB26" s="23">
        <v>34.965000000000003</v>
      </c>
      <c r="EC26" s="4">
        <v>7.8700000000000006E-2</v>
      </c>
      <c r="ED26" s="6">
        <f t="shared" si="46"/>
        <v>7.8700561485777809E-2</v>
      </c>
      <c r="EE26" s="24"/>
      <c r="EF26" s="7">
        <v>43586</v>
      </c>
      <c r="EG26" s="23">
        <v>80.91</v>
      </c>
      <c r="EH26" s="4">
        <v>-3.1099999999999999E-2</v>
      </c>
      <c r="EI26" s="6">
        <f t="shared" si="61"/>
        <v>-3.1133995928631402E-2</v>
      </c>
      <c r="EJ26" s="24"/>
      <c r="EK26" s="7">
        <v>43586</v>
      </c>
      <c r="EL26" s="23">
        <v>118.29</v>
      </c>
      <c r="EM26" s="4">
        <v>1.2800000000000001E-2</v>
      </c>
      <c r="EN26" s="6">
        <f t="shared" si="62"/>
        <v>1.2756849315068571E-2</v>
      </c>
      <c r="EO26" s="24"/>
      <c r="EP26" s="7">
        <v>43586</v>
      </c>
      <c r="EQ26" s="23">
        <v>41.01</v>
      </c>
      <c r="ER26" s="4">
        <v>-6.8199999999999997E-2</v>
      </c>
      <c r="ES26" s="6">
        <f t="shared" si="63"/>
        <v>-6.8166325835037497E-2</v>
      </c>
      <c r="ET26" s="24"/>
      <c r="EU26" s="7">
        <v>43586</v>
      </c>
      <c r="EV26" s="23">
        <v>219.31</v>
      </c>
      <c r="EW26" s="4">
        <v>8.0000000000000002E-3</v>
      </c>
      <c r="EX26" s="6">
        <f t="shared" si="64"/>
        <v>7.9974261157329096E-3</v>
      </c>
      <c r="EY26" s="24"/>
      <c r="EZ26" s="7">
        <v>43586</v>
      </c>
      <c r="FA26" s="23">
        <v>190.81</v>
      </c>
      <c r="FB26" s="4">
        <v>-1.0500000000000001E-2</v>
      </c>
      <c r="FC26" s="6">
        <f t="shared" si="65"/>
        <v>-1.0526861646961217E-2</v>
      </c>
      <c r="FD26" s="24"/>
      <c r="FE26" s="7">
        <v>43586</v>
      </c>
      <c r="FF26" s="23">
        <v>52.21</v>
      </c>
      <c r="FG26" s="4">
        <v>3.8199999999999998E-2</v>
      </c>
      <c r="FH26" s="6">
        <f t="shared" si="66"/>
        <v>3.8178564326903988E-2</v>
      </c>
      <c r="FI26" s="24"/>
      <c r="FJ26" s="7">
        <v>43586</v>
      </c>
      <c r="FK26" s="23">
        <v>12.79</v>
      </c>
      <c r="FL26" s="4">
        <v>-7.0000000000000001E-3</v>
      </c>
      <c r="FM26" s="6">
        <f t="shared" si="67"/>
        <v>-6.9875776397516796E-3</v>
      </c>
      <c r="FN26" s="24"/>
      <c r="FO26" s="7">
        <v>43586</v>
      </c>
      <c r="FP26" s="23">
        <v>55.31</v>
      </c>
      <c r="FQ26" s="4">
        <v>-7.1999999999999998E-3</v>
      </c>
      <c r="FR26" s="6">
        <f t="shared" si="68"/>
        <v>-7.1800394902171707E-3</v>
      </c>
    </row>
    <row r="27" spans="1:16379">
      <c r="A27" s="7">
        <v>43556</v>
      </c>
      <c r="B27" s="3">
        <v>19.16</v>
      </c>
      <c r="C27" s="4">
        <v>-7.1300000000000002E-2</v>
      </c>
      <c r="D27" s="6">
        <f t="shared" si="1"/>
        <v>-7.1255453223460927E-2</v>
      </c>
      <c r="F27" s="7">
        <v>43556</v>
      </c>
      <c r="G27" s="3">
        <v>42.38</v>
      </c>
      <c r="H27" s="4">
        <v>4.2000000000000003E-2</v>
      </c>
      <c r="I27" s="6">
        <f t="shared" si="35"/>
        <v>4.2045733956233115E-2</v>
      </c>
      <c r="K27" s="7">
        <v>43556</v>
      </c>
      <c r="L27" s="3">
        <v>14.12</v>
      </c>
      <c r="M27" s="4">
        <v>1.7299999999999999E-2</v>
      </c>
      <c r="N27" s="6">
        <f t="shared" si="36"/>
        <v>1.7291066282420636E-2</v>
      </c>
      <c r="P27" s="7">
        <v>43556</v>
      </c>
      <c r="Q27" s="3">
        <v>107.61</v>
      </c>
      <c r="R27" s="4">
        <v>-4.7999999999999996E-3</v>
      </c>
      <c r="S27" s="6">
        <f t="shared" si="37"/>
        <v>-4.8090261722000928E-3</v>
      </c>
      <c r="U27" s="7">
        <v>43556</v>
      </c>
      <c r="V27" s="3">
        <v>312.25</v>
      </c>
      <c r="W27" s="4">
        <v>-4.4000000000000003E-3</v>
      </c>
      <c r="X27" s="6">
        <f t="shared" si="38"/>
        <v>-4.4318326744037318E-3</v>
      </c>
      <c r="Z27" s="7">
        <v>43556</v>
      </c>
      <c r="AA27" s="3">
        <v>40.76</v>
      </c>
      <c r="AB27" s="4">
        <v>5.7099999999999998E-2</v>
      </c>
      <c r="AC27" s="6">
        <f t="shared" si="39"/>
        <v>5.705394190871358E-2</v>
      </c>
      <c r="AE27" s="7">
        <v>43556</v>
      </c>
      <c r="AF27" s="3">
        <v>29.79</v>
      </c>
      <c r="AG27" s="4">
        <v>-3.0000000000000001E-3</v>
      </c>
      <c r="AH27" s="6">
        <f t="shared" si="40"/>
        <v>-3.0120481927710797E-3</v>
      </c>
      <c r="AJ27" s="7">
        <v>43556</v>
      </c>
      <c r="AK27" s="3">
        <v>42.22</v>
      </c>
      <c r="AL27" s="4">
        <v>4.0399999999999998E-2</v>
      </c>
      <c r="AM27" s="6">
        <f t="shared" si="41"/>
        <v>4.0413997042878277E-2</v>
      </c>
      <c r="AO27" s="7">
        <v>43556</v>
      </c>
      <c r="AP27" s="3">
        <v>39.090000000000003</v>
      </c>
      <c r="AQ27" s="4">
        <v>-2.6599999999999999E-2</v>
      </c>
      <c r="AR27" s="6">
        <f t="shared" si="42"/>
        <v>-2.6643426294820551E-2</v>
      </c>
      <c r="AT27" s="7">
        <v>43556</v>
      </c>
      <c r="AU27" s="3">
        <v>8.77</v>
      </c>
      <c r="AV27" s="4">
        <v>-3.3099999999999997E-2</v>
      </c>
      <c r="AW27" s="6">
        <f t="shared" si="43"/>
        <v>-3.3076074972436684E-2</v>
      </c>
      <c r="AY27" s="7">
        <v>43556</v>
      </c>
      <c r="AZ27" s="3">
        <v>120.93</v>
      </c>
      <c r="BA27" s="4">
        <v>-5.7500000000000002E-2</v>
      </c>
      <c r="BB27" s="6">
        <f t="shared" si="44"/>
        <v>-5.7516951133972372E-2</v>
      </c>
      <c r="BD27" s="7">
        <v>43556</v>
      </c>
      <c r="BE27" s="3">
        <v>29.89</v>
      </c>
      <c r="BF27" s="4">
        <v>6.4799999999999996E-2</v>
      </c>
      <c r="BG27" s="6">
        <f t="shared" si="45"/>
        <v>6.4837905236907745E-2</v>
      </c>
      <c r="BI27" s="7">
        <v>43556</v>
      </c>
      <c r="BJ27" s="23">
        <v>122.72</v>
      </c>
      <c r="BK27" s="4">
        <v>-3.0999999999999999E-3</v>
      </c>
      <c r="BL27" s="6">
        <f t="shared" si="47"/>
        <v>-3.0869212022744952E-3</v>
      </c>
      <c r="BM27" s="22"/>
      <c r="BN27" s="7">
        <v>43556</v>
      </c>
      <c r="BO27" s="23">
        <v>1008.42</v>
      </c>
      <c r="BP27" s="4">
        <v>-3.9100000000000003E-2</v>
      </c>
      <c r="BQ27" s="6">
        <f t="shared" si="48"/>
        <v>-3.9069200129595472E-2</v>
      </c>
      <c r="BR27" s="22"/>
      <c r="BS27" s="7">
        <v>43556</v>
      </c>
      <c r="BT27" s="23">
        <v>119.83</v>
      </c>
      <c r="BU27" s="4">
        <v>0.13539999999999999</v>
      </c>
      <c r="BV27" s="6">
        <f t="shared" si="49"/>
        <v>0.13539890089065754</v>
      </c>
      <c r="BW27" s="22"/>
      <c r="BX27" s="7">
        <v>43556</v>
      </c>
      <c r="BY27" s="23">
        <v>184.93</v>
      </c>
      <c r="BZ27" s="4">
        <v>3.2300000000000002E-2</v>
      </c>
      <c r="CA27" s="6">
        <f t="shared" si="50"/>
        <v>3.2263466368964488E-2</v>
      </c>
      <c r="CB27" s="22"/>
      <c r="CC27" s="7">
        <v>43556</v>
      </c>
      <c r="CD27" s="23">
        <v>15.24</v>
      </c>
      <c r="CE27" s="4">
        <v>9.0899999999999995E-2</v>
      </c>
      <c r="CF27" s="6">
        <f t="shared" si="51"/>
        <v>9.0909090909090828E-2</v>
      </c>
      <c r="CG27" s="22"/>
      <c r="CH27" s="7">
        <v>43556</v>
      </c>
      <c r="CI27" s="23">
        <v>17.3</v>
      </c>
      <c r="CJ27" s="4">
        <v>0.14269999999999999</v>
      </c>
      <c r="CK27" s="6">
        <f t="shared" si="52"/>
        <v>0.14266842800528412</v>
      </c>
      <c r="CL27" s="22"/>
      <c r="CM27" s="7">
        <v>43556</v>
      </c>
      <c r="CN27" s="23">
        <v>55.59</v>
      </c>
      <c r="CO27" s="4">
        <v>4.1799999999999997E-2</v>
      </c>
      <c r="CP27" s="6">
        <f t="shared" si="53"/>
        <v>4.1791604197901178E-2</v>
      </c>
      <c r="CQ27" s="22"/>
      <c r="CR27" s="7">
        <v>43556</v>
      </c>
      <c r="CS27" s="23">
        <v>189.49</v>
      </c>
      <c r="CT27" s="4">
        <v>-4.3900000000000002E-2</v>
      </c>
      <c r="CU27" s="6">
        <f t="shared" si="54"/>
        <v>-4.394550958627641E-2</v>
      </c>
      <c r="CV27" s="22"/>
      <c r="CW27" s="7">
        <v>43556</v>
      </c>
      <c r="CX27" s="23">
        <v>189.7</v>
      </c>
      <c r="CY27" s="4">
        <v>0.1186</v>
      </c>
      <c r="CZ27" s="6">
        <f t="shared" si="55"/>
        <v>0.11858010495901872</v>
      </c>
      <c r="DA27" s="22"/>
      <c r="DB27" s="7">
        <v>43556</v>
      </c>
      <c r="DC27" s="23">
        <v>73.510000000000005</v>
      </c>
      <c r="DD27" s="4">
        <v>-3.6400000000000002E-2</v>
      </c>
      <c r="DE27" s="6">
        <f t="shared" si="56"/>
        <v>-3.6439900380128454E-2</v>
      </c>
      <c r="DF27" s="22"/>
      <c r="DG27" s="7">
        <v>43556</v>
      </c>
      <c r="DH27" s="23">
        <v>108.63</v>
      </c>
      <c r="DI27" s="4">
        <v>1.4E-2</v>
      </c>
      <c r="DJ27" s="6">
        <f t="shared" si="57"/>
        <v>1.4001680201624289E-2</v>
      </c>
      <c r="DK27" s="22"/>
      <c r="DL27" s="7">
        <v>43556</v>
      </c>
      <c r="DM27" s="23">
        <v>29.02</v>
      </c>
      <c r="DN27" s="4">
        <v>7.9200000000000007E-2</v>
      </c>
      <c r="DO27" s="6">
        <f t="shared" si="58"/>
        <v>7.9211602826329441E-2</v>
      </c>
      <c r="DQ27" s="7">
        <v>43556</v>
      </c>
      <c r="DR27" s="23">
        <v>38.56</v>
      </c>
      <c r="DS27" s="4">
        <v>-0.10299999999999999</v>
      </c>
      <c r="DT27" s="6">
        <f t="shared" si="59"/>
        <v>-0.10304722028378692</v>
      </c>
      <c r="DU27" s="24"/>
      <c r="DV27" s="7">
        <v>43556</v>
      </c>
      <c r="DW27" s="23">
        <v>82.87</v>
      </c>
      <c r="DX27" s="4">
        <v>6.2300000000000001E-2</v>
      </c>
      <c r="DY27" s="6">
        <f t="shared" si="60"/>
        <v>6.2299705166004346E-2</v>
      </c>
      <c r="DZ27" s="24"/>
      <c r="EA27" s="7">
        <v>43556</v>
      </c>
      <c r="EB27" s="23">
        <v>32.414000000000001</v>
      </c>
      <c r="EC27" s="4">
        <v>-4.3E-3</v>
      </c>
      <c r="ED27" s="6">
        <f t="shared" si="46"/>
        <v>-4.3311319305789657E-3</v>
      </c>
      <c r="EE27" s="24"/>
      <c r="EF27" s="7">
        <v>43556</v>
      </c>
      <c r="EG27" s="23">
        <v>83.51</v>
      </c>
      <c r="EH27" s="4">
        <v>-7.2800000000000004E-2</v>
      </c>
      <c r="EI27" s="6">
        <f t="shared" si="61"/>
        <v>-7.2832241589874419E-2</v>
      </c>
      <c r="EJ27" s="24"/>
      <c r="EK27" s="7">
        <v>43556</v>
      </c>
      <c r="EL27" s="23">
        <v>116.8</v>
      </c>
      <c r="EM27" s="4">
        <v>6.4899999999999999E-2</v>
      </c>
      <c r="EN27" s="6">
        <f t="shared" si="62"/>
        <v>6.491611962071471E-2</v>
      </c>
      <c r="EO27" s="24"/>
      <c r="EP27" s="7">
        <v>43556</v>
      </c>
      <c r="EQ27" s="23">
        <v>44.01</v>
      </c>
      <c r="ER27" s="4">
        <v>-5.1700000000000003E-2</v>
      </c>
      <c r="ES27" s="6">
        <f t="shared" si="63"/>
        <v>-5.1712992889463454E-2</v>
      </c>
      <c r="ET27" s="24"/>
      <c r="EU27" s="7">
        <v>43556</v>
      </c>
      <c r="EV27" s="23">
        <v>217.57</v>
      </c>
      <c r="EW27" s="4">
        <v>-0.1031</v>
      </c>
      <c r="EX27" s="6">
        <f t="shared" si="64"/>
        <v>-0.10310000824470285</v>
      </c>
      <c r="EY27" s="24"/>
      <c r="EZ27" s="7">
        <v>43556</v>
      </c>
      <c r="FA27" s="23">
        <v>192.84</v>
      </c>
      <c r="FB27" s="4">
        <v>2.0000000000000001E-4</v>
      </c>
      <c r="FC27" s="6">
        <f t="shared" si="65"/>
        <v>1.5559358954411669E-4</v>
      </c>
      <c r="FD27" s="24"/>
      <c r="FE27" s="7">
        <v>43556</v>
      </c>
      <c r="FF27" s="23">
        <v>50.29</v>
      </c>
      <c r="FG27" s="4">
        <v>5.4100000000000002E-2</v>
      </c>
      <c r="FH27" s="6">
        <f t="shared" si="66"/>
        <v>5.4076713477258398E-2</v>
      </c>
      <c r="FI27" s="24"/>
      <c r="FJ27" s="7">
        <v>43556</v>
      </c>
      <c r="FK27" s="23">
        <v>12.88</v>
      </c>
      <c r="FL27" s="4">
        <v>2.3800000000000002E-2</v>
      </c>
      <c r="FM27" s="6">
        <f t="shared" si="67"/>
        <v>2.3847376788553316E-2</v>
      </c>
      <c r="FN27" s="24"/>
      <c r="FO27" s="7">
        <v>43556</v>
      </c>
      <c r="FP27" s="23">
        <v>55.71</v>
      </c>
      <c r="FQ27" s="4">
        <v>7.2999999999999995E-2</v>
      </c>
      <c r="FR27" s="6">
        <f t="shared" si="68"/>
        <v>7.299691833590137E-2</v>
      </c>
    </row>
    <row r="28" spans="1:16379">
      <c r="A28" s="7">
        <v>43525</v>
      </c>
      <c r="B28" s="3">
        <v>20.63</v>
      </c>
      <c r="C28" s="4">
        <v>-6.0100000000000001E-2</v>
      </c>
      <c r="D28" s="6">
        <f t="shared" si="1"/>
        <v>-6.0136674259681111E-2</v>
      </c>
      <c r="F28" s="7">
        <v>43525</v>
      </c>
      <c r="G28" s="3">
        <v>40.67</v>
      </c>
      <c r="H28" s="4">
        <v>-0.1668</v>
      </c>
      <c r="I28" s="6">
        <f t="shared" si="35"/>
        <v>-0.16676910469166153</v>
      </c>
      <c r="K28" s="7">
        <v>43525</v>
      </c>
      <c r="L28" s="3">
        <v>13.88</v>
      </c>
      <c r="M28" s="4">
        <v>0</v>
      </c>
      <c r="N28" s="6">
        <f t="shared" si="36"/>
        <v>0</v>
      </c>
      <c r="P28" s="7">
        <v>43525</v>
      </c>
      <c r="Q28" s="3">
        <v>108.13</v>
      </c>
      <c r="R28" s="4">
        <v>-5.1000000000000004E-3</v>
      </c>
      <c r="S28" s="6">
        <f t="shared" si="37"/>
        <v>-5.0607287449393754E-3</v>
      </c>
      <c r="U28" s="7">
        <v>43525</v>
      </c>
      <c r="V28" s="3">
        <v>313.64</v>
      </c>
      <c r="W28" s="4">
        <v>-4.0800000000000003E-2</v>
      </c>
      <c r="X28" s="6">
        <f t="shared" si="38"/>
        <v>-4.0768266201792337E-2</v>
      </c>
      <c r="Z28" s="7">
        <v>43525</v>
      </c>
      <c r="AA28" s="3">
        <v>38.56</v>
      </c>
      <c r="AB28" s="4">
        <v>3.5999999999999997E-2</v>
      </c>
      <c r="AC28" s="6">
        <f t="shared" si="39"/>
        <v>3.6002149382052755E-2</v>
      </c>
      <c r="AE28" s="7">
        <v>43525</v>
      </c>
      <c r="AF28" s="3">
        <v>29.88</v>
      </c>
      <c r="AG28" s="4">
        <v>0.1018</v>
      </c>
      <c r="AH28" s="6">
        <f t="shared" si="40"/>
        <v>0.1017699115044247</v>
      </c>
      <c r="AJ28" s="7">
        <v>43525</v>
      </c>
      <c r="AK28" s="3">
        <v>40.58</v>
      </c>
      <c r="AL28" s="4">
        <v>6.1499999999999999E-2</v>
      </c>
      <c r="AM28" s="6">
        <f t="shared" si="41"/>
        <v>6.1470049699189164E-2</v>
      </c>
      <c r="AO28" s="7">
        <v>43525</v>
      </c>
      <c r="AP28" s="3">
        <v>40.159999999999997</v>
      </c>
      <c r="AQ28" s="4">
        <v>-1E-3</v>
      </c>
      <c r="AR28" s="6">
        <f t="shared" si="42"/>
        <v>-9.9502487562204596E-4</v>
      </c>
      <c r="AT28" s="7">
        <v>43525</v>
      </c>
      <c r="AU28" s="3">
        <v>9.07</v>
      </c>
      <c r="AV28" s="4">
        <v>-4.1200000000000001E-2</v>
      </c>
      <c r="AW28" s="6">
        <f t="shared" si="43"/>
        <v>-4.1226215644820353E-2</v>
      </c>
      <c r="AY28" s="7">
        <v>43525</v>
      </c>
      <c r="AZ28" s="3">
        <v>128.31</v>
      </c>
      <c r="BA28" s="4">
        <v>0.1004</v>
      </c>
      <c r="BB28" s="6">
        <f t="shared" si="44"/>
        <v>0.10042881646655238</v>
      </c>
      <c r="BD28" s="7">
        <v>43525</v>
      </c>
      <c r="BE28" s="3">
        <v>28.07</v>
      </c>
      <c r="BF28" s="4">
        <v>7.4999999999999997E-3</v>
      </c>
      <c r="BG28" s="6">
        <f t="shared" si="45"/>
        <v>7.5376884422110862E-3</v>
      </c>
      <c r="BI28" s="7">
        <v>43525</v>
      </c>
      <c r="BJ28" s="23">
        <v>123.1</v>
      </c>
      <c r="BK28" s="4">
        <v>1.8100000000000002E-2</v>
      </c>
      <c r="BL28" s="6">
        <f t="shared" si="47"/>
        <v>1.8112645769580604E-2</v>
      </c>
      <c r="BM28" s="22"/>
      <c r="BN28" s="7">
        <v>43525</v>
      </c>
      <c r="BO28" s="23">
        <v>1049.42</v>
      </c>
      <c r="BP28" s="4">
        <v>4.5499999999999999E-2</v>
      </c>
      <c r="BQ28" s="6">
        <f t="shared" si="48"/>
        <v>4.5499377334993873E-2</v>
      </c>
      <c r="BR28" s="22"/>
      <c r="BS28" s="7">
        <v>43525</v>
      </c>
      <c r="BT28" s="23">
        <v>105.54</v>
      </c>
      <c r="BU28" s="4">
        <v>6.6E-3</v>
      </c>
      <c r="BV28" s="6">
        <f t="shared" si="49"/>
        <v>6.5808297567955254E-3</v>
      </c>
      <c r="BW28" s="22"/>
      <c r="BX28" s="7">
        <v>43525</v>
      </c>
      <c r="BY28" s="23">
        <v>179.15</v>
      </c>
      <c r="BZ28" s="4">
        <v>2.4400000000000002E-2</v>
      </c>
      <c r="CA28" s="6">
        <f t="shared" si="50"/>
        <v>2.4358167991308965E-2</v>
      </c>
      <c r="CB28" s="22"/>
      <c r="CC28" s="7">
        <v>43525</v>
      </c>
      <c r="CD28" s="23">
        <v>13.97</v>
      </c>
      <c r="CE28" s="4">
        <v>9.74E-2</v>
      </c>
      <c r="CF28" s="6">
        <f t="shared" si="51"/>
        <v>9.7407698350353566E-2</v>
      </c>
      <c r="CG28" s="22"/>
      <c r="CH28" s="7">
        <v>43525</v>
      </c>
      <c r="CI28" s="23">
        <v>15.14</v>
      </c>
      <c r="CJ28" s="4">
        <v>-4.36E-2</v>
      </c>
      <c r="CK28" s="6">
        <f t="shared" si="52"/>
        <v>-4.3588123815540114E-2</v>
      </c>
      <c r="CL28" s="22"/>
      <c r="CM28" s="7">
        <v>43525</v>
      </c>
      <c r="CN28" s="23">
        <v>53.36</v>
      </c>
      <c r="CO28" s="4">
        <v>0.105</v>
      </c>
      <c r="CP28" s="6">
        <f t="shared" si="53"/>
        <v>0.1049906813004764</v>
      </c>
      <c r="CQ28" s="22"/>
      <c r="CR28" s="7">
        <v>43525</v>
      </c>
      <c r="CS28" s="23">
        <v>198.2</v>
      </c>
      <c r="CT28" s="4">
        <v>-5.0900000000000001E-2</v>
      </c>
      <c r="CU28" s="6">
        <f t="shared" si="54"/>
        <v>-5.094809423482094E-2</v>
      </c>
      <c r="CV28" s="22"/>
      <c r="CW28" s="7">
        <v>43525</v>
      </c>
      <c r="CX28" s="23">
        <v>169.59</v>
      </c>
      <c r="CY28" s="4">
        <v>-4.0500000000000001E-2</v>
      </c>
      <c r="CZ28" s="6">
        <f t="shared" si="55"/>
        <v>-4.0509193776520513E-2</v>
      </c>
      <c r="DA28" s="22"/>
      <c r="DB28" s="7">
        <v>43525</v>
      </c>
      <c r="DC28" s="23">
        <v>76.290000000000006</v>
      </c>
      <c r="DD28" s="4">
        <v>6.8900000000000003E-2</v>
      </c>
      <c r="DE28" s="6">
        <f t="shared" si="56"/>
        <v>6.8936527952921489E-2</v>
      </c>
      <c r="DF28" s="22"/>
      <c r="DG28" s="7">
        <v>43525</v>
      </c>
      <c r="DH28" s="23">
        <v>107.13</v>
      </c>
      <c r="DI28" s="4">
        <v>2.0400000000000001E-2</v>
      </c>
      <c r="DJ28" s="6">
        <f t="shared" si="57"/>
        <v>2.0382893608915209E-2</v>
      </c>
      <c r="DK28" s="22"/>
      <c r="DL28" s="7">
        <v>43525</v>
      </c>
      <c r="DM28" s="23">
        <v>26.89</v>
      </c>
      <c r="DN28" s="4">
        <v>-6.5000000000000002E-2</v>
      </c>
      <c r="DO28" s="6">
        <f t="shared" si="58"/>
        <v>-6.5020862308762251E-2</v>
      </c>
      <c r="DQ28" s="7">
        <v>43525</v>
      </c>
      <c r="DR28" s="23">
        <v>42.99</v>
      </c>
      <c r="DS28" s="4">
        <v>-4.7800000000000002E-2</v>
      </c>
      <c r="DT28" s="6">
        <f t="shared" si="59"/>
        <v>-4.7840531561461723E-2</v>
      </c>
      <c r="DU28" s="24"/>
      <c r="DV28" s="7">
        <v>43525</v>
      </c>
      <c r="DW28" s="23">
        <v>78.010000000000005</v>
      </c>
      <c r="DX28" s="4">
        <v>5.2299999999999999E-2</v>
      </c>
      <c r="DY28" s="6">
        <f t="shared" si="60"/>
        <v>5.2340482935383917E-2</v>
      </c>
      <c r="DZ28" s="24"/>
      <c r="EA28" s="7">
        <v>43525</v>
      </c>
      <c r="EB28" s="23">
        <v>32.555</v>
      </c>
      <c r="EC28" s="4">
        <v>5.7500000000000002E-2</v>
      </c>
      <c r="ED28" s="6">
        <f t="shared" si="46"/>
        <v>5.7461183654908016E-2</v>
      </c>
      <c r="EE28" s="24"/>
      <c r="EF28" s="7">
        <v>43525</v>
      </c>
      <c r="EG28" s="23">
        <v>90.07</v>
      </c>
      <c r="EH28" s="4">
        <v>2.29E-2</v>
      </c>
      <c r="EI28" s="6">
        <f t="shared" si="61"/>
        <v>2.2941510505394617E-2</v>
      </c>
      <c r="EJ28" s="24"/>
      <c r="EK28" s="7">
        <v>43525</v>
      </c>
      <c r="EL28" s="23">
        <v>109.68</v>
      </c>
      <c r="EM28" s="4">
        <v>-1.5E-3</v>
      </c>
      <c r="EN28" s="6">
        <f t="shared" si="62"/>
        <v>-1.5475648611742148E-3</v>
      </c>
      <c r="EO28" s="24"/>
      <c r="EP28" s="7">
        <v>43525</v>
      </c>
      <c r="EQ28" s="23">
        <v>46.41</v>
      </c>
      <c r="ER28" s="4">
        <v>-6.4000000000000003E-3</v>
      </c>
      <c r="ES28" s="6">
        <f t="shared" si="63"/>
        <v>-6.4226075786770337E-3</v>
      </c>
      <c r="ET28" s="24"/>
      <c r="EU28" s="7">
        <v>43525</v>
      </c>
      <c r="EV28" s="23">
        <v>242.58</v>
      </c>
      <c r="EW28" s="4">
        <v>-5.0200000000000002E-2</v>
      </c>
      <c r="EX28" s="6">
        <f t="shared" si="64"/>
        <v>-5.0195771339075934E-2</v>
      </c>
      <c r="EY28" s="24"/>
      <c r="EZ28" s="7">
        <v>43525</v>
      </c>
      <c r="FA28" s="23">
        <v>192.81</v>
      </c>
      <c r="FB28" s="4">
        <v>1.55E-2</v>
      </c>
      <c r="FC28" s="6">
        <f t="shared" si="65"/>
        <v>1.5537764668703194E-2</v>
      </c>
      <c r="FD28" s="24"/>
      <c r="FE28" s="7">
        <v>43525</v>
      </c>
      <c r="FF28" s="23">
        <v>47.71</v>
      </c>
      <c r="FG28" s="4">
        <v>-3.4000000000000002E-2</v>
      </c>
      <c r="FH28" s="6">
        <f t="shared" si="66"/>
        <v>-3.4014982790038464E-2</v>
      </c>
      <c r="FI28" s="24"/>
      <c r="FJ28" s="7">
        <v>43525</v>
      </c>
      <c r="FK28" s="23">
        <v>12.58</v>
      </c>
      <c r="FL28" s="4">
        <v>5.1799999999999999E-2</v>
      </c>
      <c r="FM28" s="6">
        <f t="shared" si="67"/>
        <v>5.1839464882943075E-2</v>
      </c>
      <c r="FN28" s="24"/>
      <c r="FO28" s="7">
        <v>43525</v>
      </c>
      <c r="FP28" s="23">
        <v>51.92</v>
      </c>
      <c r="FQ28" s="4">
        <v>4.1500000000000002E-2</v>
      </c>
      <c r="FR28" s="6">
        <f t="shared" si="68"/>
        <v>4.1524573721163492E-2</v>
      </c>
    </row>
    <row r="29" spans="1:16379">
      <c r="A29" s="7">
        <v>43497</v>
      </c>
      <c r="B29" s="3">
        <v>21.95</v>
      </c>
      <c r="C29" s="4">
        <v>-8.8099999999999998E-2</v>
      </c>
      <c r="D29" s="6">
        <f t="shared" si="1"/>
        <v>-8.807644370585796E-2</v>
      </c>
      <c r="F29" s="7">
        <v>43497</v>
      </c>
      <c r="G29" s="3">
        <v>48.81</v>
      </c>
      <c r="H29" s="4">
        <v>-7.7700000000000005E-2</v>
      </c>
      <c r="I29" s="6">
        <f t="shared" si="35"/>
        <v>-7.7664399092970501E-2</v>
      </c>
      <c r="K29" s="7">
        <v>43497</v>
      </c>
      <c r="L29" s="3">
        <v>13.88</v>
      </c>
      <c r="M29" s="4">
        <v>-9.3399999999999997E-2</v>
      </c>
      <c r="N29" s="6">
        <f t="shared" si="36"/>
        <v>-9.3403004572175027E-2</v>
      </c>
      <c r="P29" s="7">
        <v>43497</v>
      </c>
      <c r="Q29" s="3">
        <v>108.68</v>
      </c>
      <c r="R29" s="4">
        <v>-2.2800000000000001E-2</v>
      </c>
      <c r="S29" s="6">
        <f t="shared" si="37"/>
        <v>-2.2837619133249346E-2</v>
      </c>
      <c r="U29" s="7">
        <v>43497</v>
      </c>
      <c r="V29" s="3">
        <v>326.97000000000003</v>
      </c>
      <c r="W29" s="4">
        <v>-5.4800000000000001E-2</v>
      </c>
      <c r="X29" s="6">
        <f t="shared" si="38"/>
        <v>-5.4808776342034453E-2</v>
      </c>
      <c r="Z29" s="7">
        <v>43497</v>
      </c>
      <c r="AA29" s="3">
        <v>37.22</v>
      </c>
      <c r="AB29" s="4">
        <v>-6.6699999999999995E-2</v>
      </c>
      <c r="AC29" s="6">
        <f t="shared" si="39"/>
        <v>-6.6700100300902801E-2</v>
      </c>
      <c r="AE29" s="7">
        <v>43497</v>
      </c>
      <c r="AF29" s="3">
        <v>27.12</v>
      </c>
      <c r="AG29" s="4">
        <v>0.1101</v>
      </c>
      <c r="AH29" s="6">
        <f t="shared" si="40"/>
        <v>0.11011051985264025</v>
      </c>
      <c r="AJ29" s="7">
        <v>43497</v>
      </c>
      <c r="AK29" s="3">
        <v>38.229999999999997</v>
      </c>
      <c r="AL29" s="4">
        <v>1.11E-2</v>
      </c>
      <c r="AM29" s="6">
        <f t="shared" si="41"/>
        <v>1.110817244115299E-2</v>
      </c>
      <c r="AO29" s="7">
        <v>43497</v>
      </c>
      <c r="AP29" s="3">
        <v>40.200000000000003</v>
      </c>
      <c r="AQ29" s="4">
        <v>5.1799999999999999E-2</v>
      </c>
      <c r="AR29" s="6">
        <f t="shared" si="42"/>
        <v>5.1805337519623337E-2</v>
      </c>
      <c r="AT29" s="7">
        <v>43497</v>
      </c>
      <c r="AU29" s="3">
        <v>9.4600000000000009</v>
      </c>
      <c r="AV29" s="4">
        <v>-8.4199999999999997E-2</v>
      </c>
      <c r="AW29" s="6">
        <f t="shared" si="43"/>
        <v>-8.4220716360116091E-2</v>
      </c>
      <c r="AY29" s="7">
        <v>43497</v>
      </c>
      <c r="AZ29" s="3">
        <v>116.6</v>
      </c>
      <c r="BA29" s="4">
        <v>-2.4299999999999999E-2</v>
      </c>
      <c r="BB29" s="6">
        <f t="shared" si="44"/>
        <v>-2.4267782426778291E-2</v>
      </c>
      <c r="BD29" s="7">
        <v>43497</v>
      </c>
      <c r="BE29" s="3">
        <v>27.86</v>
      </c>
      <c r="BF29" s="4">
        <v>4.0300000000000002E-2</v>
      </c>
      <c r="BG29" s="6">
        <f t="shared" si="45"/>
        <v>4.0328603435399485E-2</v>
      </c>
      <c r="BI29" s="7">
        <v>43497</v>
      </c>
      <c r="BJ29" s="23">
        <v>120.91</v>
      </c>
      <c r="BK29" s="4">
        <v>-3.44E-2</v>
      </c>
      <c r="BL29" s="6">
        <f t="shared" si="47"/>
        <v>-3.4419421817601048E-2</v>
      </c>
      <c r="BM29" s="22"/>
      <c r="BN29" s="7">
        <v>43497</v>
      </c>
      <c r="BO29" s="23">
        <v>1003.75</v>
      </c>
      <c r="BP29" s="4">
        <v>-3.1699999999999999E-2</v>
      </c>
      <c r="BQ29" s="6">
        <f t="shared" si="48"/>
        <v>-3.1746184862925242E-2</v>
      </c>
      <c r="BR29" s="22"/>
      <c r="BS29" s="7">
        <v>43497</v>
      </c>
      <c r="BT29" s="23">
        <v>104.85</v>
      </c>
      <c r="BU29" s="4">
        <v>-1.23E-2</v>
      </c>
      <c r="BV29" s="6">
        <f t="shared" si="49"/>
        <v>-1.2339864355689567E-2</v>
      </c>
      <c r="BW29" s="22"/>
      <c r="BX29" s="7">
        <v>43497</v>
      </c>
      <c r="BY29" s="23">
        <v>174.89</v>
      </c>
      <c r="BZ29" s="4">
        <v>5.3E-3</v>
      </c>
      <c r="CA29" s="6">
        <f t="shared" si="50"/>
        <v>5.2882680921997327E-3</v>
      </c>
      <c r="CB29" s="22"/>
      <c r="CC29" s="7">
        <v>43497</v>
      </c>
      <c r="CD29" s="23">
        <v>12.73</v>
      </c>
      <c r="CE29" s="4">
        <v>-0.04</v>
      </c>
      <c r="CF29" s="6">
        <f t="shared" si="51"/>
        <v>-3.9969834087481115E-2</v>
      </c>
      <c r="CG29" s="22"/>
      <c r="CH29" s="7">
        <v>43497</v>
      </c>
      <c r="CI29" s="23">
        <v>15.83</v>
      </c>
      <c r="CJ29" s="4">
        <v>0.1348</v>
      </c>
      <c r="CK29" s="6">
        <f t="shared" si="52"/>
        <v>0.13476702508960581</v>
      </c>
      <c r="CL29" s="22"/>
      <c r="CM29" s="7">
        <v>43497</v>
      </c>
      <c r="CN29" s="23">
        <v>48.29</v>
      </c>
      <c r="CO29" s="4">
        <v>5.4600000000000003E-2</v>
      </c>
      <c r="CP29" s="6">
        <f t="shared" si="53"/>
        <v>5.4597073596855283E-2</v>
      </c>
      <c r="CQ29" s="22"/>
      <c r="CR29" s="7">
        <v>43497</v>
      </c>
      <c r="CS29" s="23">
        <v>208.84</v>
      </c>
      <c r="CT29" s="4">
        <v>-0.1036</v>
      </c>
      <c r="CU29" s="6">
        <f t="shared" si="54"/>
        <v>-0.10357556766965703</v>
      </c>
      <c r="CV29" s="22"/>
      <c r="CW29" s="7">
        <v>43497</v>
      </c>
      <c r="CX29" s="23">
        <v>176.75</v>
      </c>
      <c r="CY29" s="4">
        <v>2.98E-2</v>
      </c>
      <c r="CZ29" s="6">
        <f t="shared" si="55"/>
        <v>2.9831614519606253E-2</v>
      </c>
      <c r="DA29" s="22"/>
      <c r="DB29" s="7">
        <v>43497</v>
      </c>
      <c r="DC29" s="23">
        <v>71.37</v>
      </c>
      <c r="DD29" s="4">
        <v>-4.7899999999999998E-2</v>
      </c>
      <c r="DE29" s="6">
        <f t="shared" si="56"/>
        <v>-4.7892209178228229E-2</v>
      </c>
      <c r="DF29" s="22"/>
      <c r="DG29" s="7">
        <v>43497</v>
      </c>
      <c r="DH29" s="23">
        <v>104.99</v>
      </c>
      <c r="DI29" s="4">
        <v>-2.9999999999999997E-4</v>
      </c>
      <c r="DJ29" s="6">
        <f t="shared" si="57"/>
        <v>-2.8565987430961837E-4</v>
      </c>
      <c r="DK29" s="22"/>
      <c r="DL29" s="7">
        <v>43497</v>
      </c>
      <c r="DM29" s="23">
        <v>28.76</v>
      </c>
      <c r="DN29" s="4">
        <v>3.8300000000000001E-2</v>
      </c>
      <c r="DO29" s="6">
        <f t="shared" si="58"/>
        <v>3.8267148014440533E-2</v>
      </c>
      <c r="DQ29" s="7">
        <v>43497</v>
      </c>
      <c r="DR29" s="23">
        <v>45.15</v>
      </c>
      <c r="DS29" s="4">
        <v>-5.5599999999999997E-2</v>
      </c>
      <c r="DT29" s="6">
        <f t="shared" si="59"/>
        <v>-5.5636896046852201E-2</v>
      </c>
      <c r="DU29" s="24"/>
      <c r="DV29" s="7">
        <v>43497</v>
      </c>
      <c r="DW29" s="23">
        <v>74.13</v>
      </c>
      <c r="DX29" s="4">
        <v>-1.2800000000000001E-2</v>
      </c>
      <c r="DY29" s="6">
        <f t="shared" si="60"/>
        <v>-1.2784658409908216E-2</v>
      </c>
      <c r="DZ29" s="24"/>
      <c r="EA29" s="7">
        <v>43497</v>
      </c>
      <c r="EB29" s="23">
        <v>30.786000000000001</v>
      </c>
      <c r="EC29" s="4">
        <v>-2.41E-2</v>
      </c>
      <c r="ED29" s="6">
        <f t="shared" si="46"/>
        <v>-2.4122737502773616E-2</v>
      </c>
      <c r="EE29" s="24"/>
      <c r="EF29" s="7">
        <v>43497</v>
      </c>
      <c r="EG29" s="23">
        <v>88.05</v>
      </c>
      <c r="EH29" s="4">
        <v>2.41E-2</v>
      </c>
      <c r="EI29" s="6">
        <f t="shared" si="61"/>
        <v>2.407536636427068E-2</v>
      </c>
      <c r="EJ29" s="24"/>
      <c r="EK29" s="7">
        <v>43497</v>
      </c>
      <c r="EL29" s="23">
        <v>109.85</v>
      </c>
      <c r="EM29" s="4">
        <v>3.2399999999999998E-2</v>
      </c>
      <c r="EN29" s="6">
        <f t="shared" si="62"/>
        <v>3.2424812030075079E-2</v>
      </c>
      <c r="EO29" s="24"/>
      <c r="EP29" s="7">
        <v>43497</v>
      </c>
      <c r="EQ29" s="23">
        <v>46.71</v>
      </c>
      <c r="ER29" s="4">
        <v>-8.5599999999999996E-2</v>
      </c>
      <c r="ES29" s="6">
        <f t="shared" si="63"/>
        <v>-8.5552075176194162E-2</v>
      </c>
      <c r="ET29" s="24"/>
      <c r="EU29" s="7">
        <v>43497</v>
      </c>
      <c r="EV29" s="23">
        <v>255.4</v>
      </c>
      <c r="EW29" s="4">
        <v>-2.1600000000000001E-2</v>
      </c>
      <c r="EX29" s="6">
        <f t="shared" si="64"/>
        <v>-2.1643363340356273E-2</v>
      </c>
      <c r="EY29" s="24"/>
      <c r="EZ29" s="7">
        <v>43497</v>
      </c>
      <c r="FA29" s="23">
        <v>189.86</v>
      </c>
      <c r="FB29" s="4">
        <v>-2.7E-2</v>
      </c>
      <c r="FC29" s="6">
        <f t="shared" si="65"/>
        <v>-2.6957769577695731E-2</v>
      </c>
      <c r="FD29" s="24"/>
      <c r="FE29" s="7">
        <v>43497</v>
      </c>
      <c r="FF29" s="23">
        <v>49.39</v>
      </c>
      <c r="FG29" s="4">
        <v>5.67E-2</v>
      </c>
      <c r="FH29" s="6">
        <f t="shared" si="66"/>
        <v>5.6696619597774896E-2</v>
      </c>
      <c r="FI29" s="24"/>
      <c r="FJ29" s="7">
        <v>43497</v>
      </c>
      <c r="FK29" s="23">
        <v>11.96</v>
      </c>
      <c r="FL29" s="4">
        <v>-3.3E-3</v>
      </c>
      <c r="FM29" s="6">
        <f t="shared" si="67"/>
        <v>-3.3333333333332624E-3</v>
      </c>
      <c r="FN29" s="24"/>
      <c r="FO29" s="7">
        <v>43497</v>
      </c>
      <c r="FP29" s="23">
        <v>49.85</v>
      </c>
      <c r="FQ29" s="4">
        <v>-7.0000000000000001E-3</v>
      </c>
      <c r="FR29" s="6">
        <f t="shared" si="68"/>
        <v>-6.9721115537848882E-3</v>
      </c>
    </row>
    <row r="30" spans="1:16379">
      <c r="A30" s="7">
        <v>43466</v>
      </c>
      <c r="B30" s="3">
        <v>24.07</v>
      </c>
      <c r="C30" s="4">
        <v>2.9499999999999998E-2</v>
      </c>
      <c r="D30" s="6">
        <f t="shared" si="1"/>
        <v>2.9512403763900828E-2</v>
      </c>
      <c r="F30" s="7">
        <v>43466</v>
      </c>
      <c r="G30" s="3">
        <v>52.92</v>
      </c>
      <c r="H30" s="4">
        <v>3.4599999999999999E-2</v>
      </c>
      <c r="I30" s="6">
        <f t="shared" si="35"/>
        <v>3.4604105571847572E-2</v>
      </c>
      <c r="K30" s="7">
        <v>43466</v>
      </c>
      <c r="L30" s="3">
        <v>15.31</v>
      </c>
      <c r="M30" s="4">
        <v>9.5899999999999999E-2</v>
      </c>
      <c r="N30" s="6">
        <f t="shared" si="36"/>
        <v>9.5919828203292756E-2</v>
      </c>
      <c r="P30" s="7">
        <v>43466</v>
      </c>
      <c r="Q30" s="3">
        <v>111.22</v>
      </c>
      <c r="R30" s="4">
        <v>1.32E-2</v>
      </c>
      <c r="S30" s="6">
        <f t="shared" si="37"/>
        <v>1.3209437915641822E-2</v>
      </c>
      <c r="U30" s="7">
        <v>43466</v>
      </c>
      <c r="V30" s="3">
        <v>345.93</v>
      </c>
      <c r="W30" s="4">
        <v>0.1678</v>
      </c>
      <c r="X30" s="6">
        <f t="shared" si="38"/>
        <v>0.1678144622240226</v>
      </c>
      <c r="Z30" s="7">
        <v>43466</v>
      </c>
      <c r="AA30" s="3">
        <v>39.880000000000003</v>
      </c>
      <c r="AB30" s="4">
        <v>3.9399999999999998E-2</v>
      </c>
      <c r="AC30" s="6">
        <f t="shared" si="39"/>
        <v>3.9353661714881555E-2</v>
      </c>
      <c r="AE30" s="7">
        <v>43466</v>
      </c>
      <c r="AF30" s="3">
        <v>24.43</v>
      </c>
      <c r="AG30" s="4">
        <v>-6.9699999999999998E-2</v>
      </c>
      <c r="AH30" s="6">
        <f t="shared" si="40"/>
        <v>-6.968773800456976E-2</v>
      </c>
      <c r="AJ30" s="7">
        <v>43466</v>
      </c>
      <c r="AK30" s="3">
        <v>37.81</v>
      </c>
      <c r="AL30" s="4">
        <v>-3.4200000000000001E-2</v>
      </c>
      <c r="AM30" s="6">
        <f t="shared" si="41"/>
        <v>-3.4227330779054821E-2</v>
      </c>
      <c r="AO30" s="7">
        <v>43466</v>
      </c>
      <c r="AP30" s="3">
        <v>38.22</v>
      </c>
      <c r="AQ30" s="4">
        <v>0.14119999999999999</v>
      </c>
      <c r="AR30" s="6">
        <f t="shared" si="42"/>
        <v>0.14123618990743494</v>
      </c>
      <c r="AT30" s="7">
        <v>43466</v>
      </c>
      <c r="AU30" s="3">
        <v>10.33</v>
      </c>
      <c r="AV30" s="4">
        <v>8.8499999999999995E-2</v>
      </c>
      <c r="AW30" s="6">
        <f t="shared" si="43"/>
        <v>8.8514225500526858E-2</v>
      </c>
      <c r="AY30" s="7">
        <v>43466</v>
      </c>
      <c r="AZ30" s="3">
        <v>119.5</v>
      </c>
      <c r="BA30" s="4">
        <v>2.8999999999999998E-3</v>
      </c>
      <c r="BB30" s="6">
        <f t="shared" si="44"/>
        <v>2.9374737725555542E-3</v>
      </c>
      <c r="BD30" s="7">
        <v>43466</v>
      </c>
      <c r="BE30" s="3">
        <v>26.78</v>
      </c>
      <c r="BF30" s="4">
        <v>-1.9E-3</v>
      </c>
      <c r="BG30" s="6">
        <f t="shared" si="45"/>
        <v>-1.8635855385761148E-3</v>
      </c>
      <c r="BI30" s="7">
        <v>43466</v>
      </c>
      <c r="BJ30" s="23">
        <v>125.22</v>
      </c>
      <c r="BK30" s="4">
        <v>-7.4999999999999997E-3</v>
      </c>
      <c r="BL30" s="6">
        <f t="shared" si="47"/>
        <v>-7.5295236585559699E-3</v>
      </c>
      <c r="BM30" s="22"/>
      <c r="BN30" s="7">
        <v>43466</v>
      </c>
      <c r="BO30" s="23">
        <v>1036.6600000000001</v>
      </c>
      <c r="BP30" s="4">
        <v>8.8999999999999996E-2</v>
      </c>
      <c r="BQ30" s="6">
        <f t="shared" si="48"/>
        <v>8.9008645593688707E-2</v>
      </c>
      <c r="BR30" s="22"/>
      <c r="BS30" s="7">
        <v>43466</v>
      </c>
      <c r="BT30" s="23">
        <v>106.16</v>
      </c>
      <c r="BU30" s="4">
        <v>0.1084</v>
      </c>
      <c r="BV30" s="6">
        <f t="shared" si="49"/>
        <v>0.10837335560659844</v>
      </c>
      <c r="BW30" s="22"/>
      <c r="BX30" s="7">
        <v>43466</v>
      </c>
      <c r="BY30" s="23">
        <v>173.97</v>
      </c>
      <c r="BZ30" s="4">
        <v>3.1099999999999999E-2</v>
      </c>
      <c r="CA30" s="6">
        <f t="shared" si="50"/>
        <v>3.1055532507556549E-2</v>
      </c>
      <c r="CB30" s="22"/>
      <c r="CC30" s="7">
        <v>43466</v>
      </c>
      <c r="CD30" s="23">
        <v>13.26</v>
      </c>
      <c r="CE30" s="4">
        <v>0.13619999999999999</v>
      </c>
      <c r="CF30" s="6">
        <f t="shared" si="51"/>
        <v>0.13624678663239065</v>
      </c>
      <c r="CG30" s="22"/>
      <c r="CH30" s="7">
        <v>43466</v>
      </c>
      <c r="CI30" s="23">
        <v>13.95</v>
      </c>
      <c r="CJ30" s="4">
        <v>-3.6600000000000001E-2</v>
      </c>
      <c r="CK30" s="6">
        <f t="shared" si="52"/>
        <v>-3.6602209944751496E-2</v>
      </c>
      <c r="CL30" s="22"/>
      <c r="CM30" s="7">
        <v>43466</v>
      </c>
      <c r="CN30" s="23">
        <v>45.79</v>
      </c>
      <c r="CO30" s="4">
        <v>0.1323</v>
      </c>
      <c r="CP30" s="6">
        <f t="shared" si="53"/>
        <v>0.13229475766567766</v>
      </c>
      <c r="CQ30" s="22"/>
      <c r="CR30" s="7">
        <v>43466</v>
      </c>
      <c r="CS30" s="23">
        <v>232.97</v>
      </c>
      <c r="CT30" s="4">
        <v>4.6100000000000002E-2</v>
      </c>
      <c r="CU30" s="6">
        <f t="shared" si="54"/>
        <v>4.611585092052084E-2</v>
      </c>
      <c r="CV30" s="22"/>
      <c r="CW30" s="7">
        <v>43466</v>
      </c>
      <c r="CX30" s="23">
        <v>171.63</v>
      </c>
      <c r="CY30" s="4">
        <v>7.3800000000000004E-2</v>
      </c>
      <c r="CZ30" s="6">
        <f t="shared" si="55"/>
        <v>7.3761261261261257E-2</v>
      </c>
      <c r="DA30" s="22"/>
      <c r="DB30" s="7">
        <v>43466</v>
      </c>
      <c r="DC30" s="23">
        <v>74.959999999999994</v>
      </c>
      <c r="DD30" s="4">
        <v>6.4600000000000005E-2</v>
      </c>
      <c r="DE30" s="6">
        <f t="shared" si="56"/>
        <v>6.4621502627467686E-2</v>
      </c>
      <c r="DF30" s="22"/>
      <c r="DG30" s="7">
        <v>43466</v>
      </c>
      <c r="DH30" s="23">
        <v>105.02</v>
      </c>
      <c r="DI30" s="4">
        <v>4.5600000000000002E-2</v>
      </c>
      <c r="DJ30" s="6">
        <f t="shared" si="57"/>
        <v>4.5599362803663945E-2</v>
      </c>
      <c r="DK30" s="22"/>
      <c r="DL30" s="7">
        <v>43466</v>
      </c>
      <c r="DM30" s="23">
        <v>27.7</v>
      </c>
      <c r="DN30" s="4">
        <v>-2.0899999999999998E-2</v>
      </c>
      <c r="DO30" s="6">
        <f t="shared" si="58"/>
        <v>-2.0855425945563777E-2</v>
      </c>
      <c r="DQ30" s="7">
        <v>43466</v>
      </c>
      <c r="DR30" s="23">
        <v>47.81</v>
      </c>
      <c r="DS30" s="4">
        <v>-3.1E-2</v>
      </c>
      <c r="DT30" s="6">
        <f t="shared" si="59"/>
        <v>-3.1009323064450769E-2</v>
      </c>
      <c r="DU30" s="24"/>
      <c r="DV30" s="7">
        <v>43466</v>
      </c>
      <c r="DW30" s="23">
        <v>75.09</v>
      </c>
      <c r="DX30" s="4">
        <v>2.4799999999999999E-2</v>
      </c>
      <c r="DY30" s="6">
        <f t="shared" si="60"/>
        <v>2.4839634229561997E-2</v>
      </c>
      <c r="DZ30" s="24"/>
      <c r="EA30" s="7">
        <v>43466</v>
      </c>
      <c r="EB30" s="23">
        <v>31.547000000000001</v>
      </c>
      <c r="EC30" s="4">
        <v>1.21E-2</v>
      </c>
      <c r="ED30" s="6">
        <f t="shared" si="46"/>
        <v>1.2094963105550173E-2</v>
      </c>
      <c r="EE30" s="24"/>
      <c r="EF30" s="7">
        <v>43466</v>
      </c>
      <c r="EG30" s="23">
        <v>85.98</v>
      </c>
      <c r="EH30" s="4">
        <v>-2.4500000000000001E-2</v>
      </c>
      <c r="EI30" s="6">
        <f t="shared" si="61"/>
        <v>-2.4506466984343053E-2</v>
      </c>
      <c r="EJ30" s="24"/>
      <c r="EK30" s="7">
        <v>43466</v>
      </c>
      <c r="EL30" s="23">
        <v>106.4</v>
      </c>
      <c r="EM30" s="4">
        <v>0.1361</v>
      </c>
      <c r="EN30" s="6">
        <f t="shared" si="62"/>
        <v>0.13614522156967432</v>
      </c>
      <c r="EO30" s="24"/>
      <c r="EP30" s="7">
        <v>43466</v>
      </c>
      <c r="EQ30" s="23">
        <v>51.08</v>
      </c>
      <c r="ER30" s="4">
        <v>2.2800000000000001E-2</v>
      </c>
      <c r="ES30" s="6">
        <f t="shared" si="63"/>
        <v>2.2827392871445747E-2</v>
      </c>
      <c r="ET30" s="24"/>
      <c r="EU30" s="7">
        <v>43466</v>
      </c>
      <c r="EV30" s="23">
        <v>261.05</v>
      </c>
      <c r="EW30" s="4">
        <v>8.7999999999999995E-2</v>
      </c>
      <c r="EX30" s="6">
        <f t="shared" si="64"/>
        <v>8.7980328415437251E-2</v>
      </c>
      <c r="EY30" s="24"/>
      <c r="EZ30" s="7">
        <v>43466</v>
      </c>
      <c r="FA30" s="23">
        <v>195.12</v>
      </c>
      <c r="FB30" s="4">
        <v>3.7199999999999997E-2</v>
      </c>
      <c r="FC30" s="6">
        <f t="shared" si="65"/>
        <v>3.7155158666879337E-2</v>
      </c>
      <c r="FD30" s="24"/>
      <c r="FE30" s="7">
        <v>43466</v>
      </c>
      <c r="FF30" s="23">
        <v>46.74</v>
      </c>
      <c r="FG30" s="4">
        <v>0.1298</v>
      </c>
      <c r="FH30" s="6">
        <f t="shared" si="66"/>
        <v>0.12980420594633804</v>
      </c>
      <c r="FI30" s="24"/>
      <c r="FJ30" s="7">
        <v>43466</v>
      </c>
      <c r="FK30" s="23">
        <v>12</v>
      </c>
      <c r="FL30" s="4">
        <v>2.2100000000000002E-2</v>
      </c>
      <c r="FM30" s="6">
        <f t="shared" si="67"/>
        <v>2.214650766609879E-2</v>
      </c>
      <c r="FN30" s="24"/>
      <c r="FO30" s="7">
        <v>43466</v>
      </c>
      <c r="FP30" s="23">
        <v>50.2</v>
      </c>
      <c r="FQ30" s="4">
        <v>4.5999999999999999E-3</v>
      </c>
      <c r="FR30" s="6">
        <f t="shared" si="68"/>
        <v>4.6027616569942762E-3</v>
      </c>
    </row>
    <row r="31" spans="1:16379">
      <c r="A31" s="7">
        <v>43435</v>
      </c>
      <c r="B31" s="3">
        <v>23.38</v>
      </c>
      <c r="C31" s="4">
        <v>0.14269999999999999</v>
      </c>
      <c r="D31" s="6">
        <f t="shared" si="1"/>
        <v>0.14271749755620713</v>
      </c>
      <c r="F31" s="7">
        <v>43435</v>
      </c>
      <c r="G31" s="3">
        <v>51.15</v>
      </c>
      <c r="H31" s="4">
        <v>2.7000000000000001E-3</v>
      </c>
      <c r="I31" s="6">
        <f t="shared" si="35"/>
        <v>2.7445598902176155E-3</v>
      </c>
      <c r="K31" s="7">
        <v>43435</v>
      </c>
      <c r="L31" s="3">
        <v>13.97</v>
      </c>
      <c r="M31" s="4">
        <v>2.12E-2</v>
      </c>
      <c r="N31" s="6">
        <f t="shared" si="36"/>
        <v>2.1198830409356793E-2</v>
      </c>
      <c r="P31" s="7">
        <v>43435</v>
      </c>
      <c r="Q31" s="3">
        <v>109.77</v>
      </c>
      <c r="R31" s="4">
        <v>4.3900000000000002E-2</v>
      </c>
      <c r="S31" s="6">
        <f t="shared" si="37"/>
        <v>4.3937232524964245E-2</v>
      </c>
      <c r="U31" s="7">
        <v>43435</v>
      </c>
      <c r="V31" s="3">
        <v>296.22000000000003</v>
      </c>
      <c r="W31" s="4">
        <v>8.3400000000000002E-2</v>
      </c>
      <c r="X31" s="6">
        <f t="shared" si="38"/>
        <v>8.338819398727236E-2</v>
      </c>
      <c r="Z31" s="7">
        <v>43435</v>
      </c>
      <c r="AA31" s="3">
        <v>38.369999999999997</v>
      </c>
      <c r="AB31" s="4">
        <v>8.0999999999999996E-3</v>
      </c>
      <c r="AC31" s="6">
        <f t="shared" si="39"/>
        <v>8.1450341565947222E-3</v>
      </c>
      <c r="AE31" s="7">
        <v>43435</v>
      </c>
      <c r="AF31" s="3">
        <v>26.26</v>
      </c>
      <c r="AG31" s="4">
        <v>2.5399999999999999E-2</v>
      </c>
      <c r="AH31" s="6">
        <f t="shared" si="40"/>
        <v>2.538071065989856E-2</v>
      </c>
      <c r="AJ31" s="7">
        <v>43435</v>
      </c>
      <c r="AK31" s="3">
        <v>39.15</v>
      </c>
      <c r="AL31" s="4">
        <v>3.8E-3</v>
      </c>
      <c r="AM31" s="6">
        <f t="shared" si="41"/>
        <v>3.8461538461538095E-3</v>
      </c>
      <c r="AO31" s="7">
        <v>43435</v>
      </c>
      <c r="AP31" s="3">
        <v>33.49</v>
      </c>
      <c r="AQ31" s="4">
        <v>-5.1799999999999999E-2</v>
      </c>
      <c r="AR31" s="6">
        <f t="shared" si="42"/>
        <v>-5.181200453001128E-2</v>
      </c>
      <c r="AT31" s="7">
        <v>43435</v>
      </c>
      <c r="AU31" s="3">
        <v>9.49</v>
      </c>
      <c r="AV31" s="4">
        <v>-9.3600000000000003E-2</v>
      </c>
      <c r="AW31" s="6">
        <f t="shared" si="43"/>
        <v>-9.3600764087870145E-2</v>
      </c>
      <c r="AY31" s="7">
        <v>43435</v>
      </c>
      <c r="AZ31" s="3">
        <v>119.15</v>
      </c>
      <c r="BA31" s="4">
        <v>-2.8000000000000001E-2</v>
      </c>
      <c r="BB31" s="6">
        <f t="shared" si="44"/>
        <v>-2.7981726219611622E-2</v>
      </c>
      <c r="BD31" s="7">
        <v>43435</v>
      </c>
      <c r="BE31" s="3">
        <v>26.83</v>
      </c>
      <c r="BF31" s="4">
        <v>5.7500000000000002E-2</v>
      </c>
      <c r="BG31" s="6">
        <f t="shared" si="45"/>
        <v>5.7548285376428747E-2</v>
      </c>
      <c r="BI31" s="7">
        <v>43435</v>
      </c>
      <c r="BJ31" s="23">
        <v>126.17</v>
      </c>
      <c r="BK31" s="4">
        <v>4.0099999999999997E-2</v>
      </c>
      <c r="BL31" s="6">
        <f t="shared" si="47"/>
        <v>4.0148392415498835E-2</v>
      </c>
      <c r="BM31" s="22"/>
      <c r="BN31" s="7">
        <v>43435</v>
      </c>
      <c r="BO31" s="23">
        <v>951.93</v>
      </c>
      <c r="BP31" s="4">
        <v>4.0399999999999998E-2</v>
      </c>
      <c r="BQ31" s="6">
        <f t="shared" si="48"/>
        <v>4.0360655737704754E-2</v>
      </c>
      <c r="BR31" s="22"/>
      <c r="BS31" s="7">
        <v>43435</v>
      </c>
      <c r="BT31" s="23">
        <v>95.78</v>
      </c>
      <c r="BU31" s="4">
        <v>2.8199999999999999E-2</v>
      </c>
      <c r="BV31" s="6">
        <f t="shared" si="49"/>
        <v>2.8234031132581716E-2</v>
      </c>
      <c r="BW31" s="22"/>
      <c r="BX31" s="7">
        <v>43435</v>
      </c>
      <c r="BY31" s="23">
        <v>168.73</v>
      </c>
      <c r="BZ31" s="4">
        <v>-4.3900000000000002E-2</v>
      </c>
      <c r="CA31" s="6">
        <f t="shared" si="50"/>
        <v>-4.3860146200487393E-2</v>
      </c>
      <c r="CB31" s="22"/>
      <c r="CC31" s="7">
        <v>43435</v>
      </c>
      <c r="CD31" s="23">
        <v>11.67</v>
      </c>
      <c r="CE31" s="4">
        <v>-6.8599999999999994E-2</v>
      </c>
      <c r="CF31" s="6">
        <f t="shared" si="51"/>
        <v>-6.8635275339185897E-2</v>
      </c>
      <c r="CG31" s="22"/>
      <c r="CH31" s="7">
        <v>43435</v>
      </c>
      <c r="CI31" s="23">
        <v>14.48</v>
      </c>
      <c r="CJ31" s="4">
        <v>-4.0399999999999998E-2</v>
      </c>
      <c r="CK31" s="6">
        <f t="shared" si="52"/>
        <v>-4.042412193505629E-2</v>
      </c>
      <c r="CL31" s="22"/>
      <c r="CM31" s="7">
        <v>43435</v>
      </c>
      <c r="CN31" s="23">
        <v>40.44</v>
      </c>
      <c r="CO31" s="4">
        <v>-3.6700000000000003E-2</v>
      </c>
      <c r="CP31" s="6">
        <f t="shared" si="53"/>
        <v>-3.6684135302525012E-2</v>
      </c>
      <c r="CQ31" s="22"/>
      <c r="CR31" s="7">
        <v>43435</v>
      </c>
      <c r="CS31" s="23">
        <v>222.7</v>
      </c>
      <c r="CT31" s="4">
        <v>-8.9999999999999998E-4</v>
      </c>
      <c r="CU31" s="6">
        <f t="shared" si="54"/>
        <v>-8.972633467924096E-4</v>
      </c>
      <c r="CV31" s="22"/>
      <c r="CW31" s="7">
        <v>43435</v>
      </c>
      <c r="CX31" s="23">
        <v>159.84</v>
      </c>
      <c r="CY31" s="4">
        <v>0.13270000000000001</v>
      </c>
      <c r="CZ31" s="6">
        <f t="shared" si="55"/>
        <v>0.13273332860888654</v>
      </c>
      <c r="DA31" s="22"/>
      <c r="DB31" s="7">
        <v>43435</v>
      </c>
      <c r="DC31" s="23">
        <v>70.41</v>
      </c>
      <c r="DD31" s="4">
        <v>7.7899999999999997E-2</v>
      </c>
      <c r="DE31" s="6">
        <f t="shared" si="56"/>
        <v>7.7924066135946157E-2</v>
      </c>
      <c r="DF31" s="22"/>
      <c r="DG31" s="7">
        <v>43435</v>
      </c>
      <c r="DH31" s="23">
        <v>100.44</v>
      </c>
      <c r="DI31" s="4">
        <v>-5.4199999999999998E-2</v>
      </c>
      <c r="DJ31" s="6">
        <f t="shared" si="57"/>
        <v>-5.4237288135593253E-2</v>
      </c>
      <c r="DK31" s="22"/>
      <c r="DL31" s="7">
        <v>43435</v>
      </c>
      <c r="DM31" s="23">
        <v>28.29</v>
      </c>
      <c r="DN31" s="4">
        <v>3.1699999999999999E-2</v>
      </c>
      <c r="DO31" s="6">
        <f t="shared" si="58"/>
        <v>3.1728665207877427E-2</v>
      </c>
      <c r="DQ31" s="7">
        <v>43435</v>
      </c>
      <c r="DR31" s="23">
        <v>49.34</v>
      </c>
      <c r="DS31" s="4">
        <v>-0.1134</v>
      </c>
      <c r="DT31" s="6">
        <f t="shared" si="59"/>
        <v>-0.11338724168912839</v>
      </c>
      <c r="DU31" s="24"/>
      <c r="DV31" s="7">
        <v>43435</v>
      </c>
      <c r="DW31" s="23">
        <v>73.27</v>
      </c>
      <c r="DX31" s="4">
        <v>-5.4100000000000002E-2</v>
      </c>
      <c r="DY31" s="6">
        <f t="shared" si="60"/>
        <v>-5.4092434805060652E-2</v>
      </c>
      <c r="DZ31" s="24"/>
      <c r="EA31" s="7">
        <v>43435</v>
      </c>
      <c r="EB31" s="23">
        <v>31.17</v>
      </c>
      <c r="EC31" s="4">
        <v>4.9700000000000001E-2</v>
      </c>
      <c r="ED31" s="6">
        <f t="shared" si="46"/>
        <v>4.9671661895942125E-2</v>
      </c>
      <c r="EE31" s="24"/>
      <c r="EF31" s="7">
        <v>43435</v>
      </c>
      <c r="EG31" s="23">
        <v>88.14</v>
      </c>
      <c r="EH31" s="4">
        <v>-5.3999999999999999E-2</v>
      </c>
      <c r="EI31" s="6">
        <f t="shared" si="61"/>
        <v>-5.3987334979070531E-2</v>
      </c>
      <c r="EJ31" s="24"/>
      <c r="EK31" s="7">
        <v>43435</v>
      </c>
      <c r="EL31" s="23">
        <v>93.65</v>
      </c>
      <c r="EM31" s="4">
        <v>3.2300000000000002E-2</v>
      </c>
      <c r="EN31" s="6">
        <f t="shared" si="62"/>
        <v>3.2297178130511542E-2</v>
      </c>
      <c r="EO31" s="24"/>
      <c r="EP31" s="7">
        <v>43435</v>
      </c>
      <c r="EQ31" s="23">
        <v>49.94</v>
      </c>
      <c r="ER31" s="4">
        <v>0.05</v>
      </c>
      <c r="ES31" s="6">
        <f t="shared" si="63"/>
        <v>5.0042052144659281E-2</v>
      </c>
      <c r="ET31" s="24"/>
      <c r="EU31" s="7">
        <v>43435</v>
      </c>
      <c r="EV31" s="23">
        <v>239.94</v>
      </c>
      <c r="EW31" s="4">
        <v>3.4799999999999998E-2</v>
      </c>
      <c r="EX31" s="6">
        <f t="shared" si="64"/>
        <v>3.4759358288770061E-2</v>
      </c>
      <c r="EY31" s="24"/>
      <c r="EZ31" s="7">
        <v>43435</v>
      </c>
      <c r="FA31" s="23">
        <v>188.13</v>
      </c>
      <c r="FB31" s="4">
        <v>4.24E-2</v>
      </c>
      <c r="FC31" s="6">
        <f t="shared" si="65"/>
        <v>4.2386968085106419E-2</v>
      </c>
      <c r="FD31" s="24"/>
      <c r="FE31" s="7">
        <v>43435</v>
      </c>
      <c r="FF31" s="23">
        <v>41.37</v>
      </c>
      <c r="FG31" s="4">
        <v>-6.3E-2</v>
      </c>
      <c r="FH31" s="6">
        <f t="shared" si="66"/>
        <v>-6.2967157417893577E-2</v>
      </c>
      <c r="FI31" s="24"/>
      <c r="FJ31" s="7">
        <v>43435</v>
      </c>
      <c r="FK31" s="23">
        <v>11.74</v>
      </c>
      <c r="FL31" s="4">
        <v>-7.5600000000000001E-2</v>
      </c>
      <c r="FM31" s="6">
        <f t="shared" si="67"/>
        <v>-7.5590551181102292E-2</v>
      </c>
      <c r="FN31" s="24"/>
      <c r="FO31" s="7">
        <v>43435</v>
      </c>
      <c r="FP31" s="23">
        <v>49.97</v>
      </c>
      <c r="FQ31" s="4">
        <v>-7.3000000000000001E-3</v>
      </c>
      <c r="FR31" s="6">
        <f t="shared" si="68"/>
        <v>-7.3500198649186438E-3</v>
      </c>
    </row>
    <row r="32" spans="1:16379" ht="15.75" thickBot="1">
      <c r="A32" s="8">
        <v>43405</v>
      </c>
      <c r="B32" s="9">
        <v>20.46</v>
      </c>
      <c r="C32" s="10">
        <v>-4.4400000000000002E-2</v>
      </c>
      <c r="D32" s="18">
        <f>C32</f>
        <v>-4.4400000000000002E-2</v>
      </c>
      <c r="F32" s="8">
        <v>43405</v>
      </c>
      <c r="G32" s="9">
        <v>51.01</v>
      </c>
      <c r="H32" s="10">
        <v>-1.7899999999999999E-2</v>
      </c>
      <c r="I32" s="20">
        <f>H32</f>
        <v>-1.7899999999999999E-2</v>
      </c>
      <c r="K32" s="8">
        <v>43405</v>
      </c>
      <c r="L32" s="9">
        <v>13.68</v>
      </c>
      <c r="M32" s="10">
        <v>-7.0000000000000007E-2</v>
      </c>
      <c r="N32" s="18">
        <f>M32</f>
        <v>-7.0000000000000007E-2</v>
      </c>
      <c r="P32" s="8">
        <v>43405</v>
      </c>
      <c r="Q32" s="9">
        <v>105.15</v>
      </c>
      <c r="R32" s="10">
        <v>2.9399999999999999E-2</v>
      </c>
      <c r="S32" s="20">
        <f>R32</f>
        <v>2.9399999999999999E-2</v>
      </c>
      <c r="U32" s="8">
        <v>43405</v>
      </c>
      <c r="V32" s="9">
        <v>273.42</v>
      </c>
      <c r="W32" s="10">
        <v>-0.19020000000000001</v>
      </c>
      <c r="X32" s="18">
        <f>W32</f>
        <v>-0.19020000000000001</v>
      </c>
      <c r="Z32" s="8">
        <v>43405</v>
      </c>
      <c r="AA32" s="9">
        <v>38.06</v>
      </c>
      <c r="AB32" s="10">
        <v>-4.6800000000000001E-2</v>
      </c>
      <c r="AC32" s="20">
        <f>AB32</f>
        <v>-4.6800000000000001E-2</v>
      </c>
      <c r="AE32" s="8">
        <v>43405</v>
      </c>
      <c r="AF32" s="9">
        <v>25.61</v>
      </c>
      <c r="AG32" s="10">
        <v>2.6499999999999999E-2</v>
      </c>
      <c r="AH32" s="20">
        <f>AG32</f>
        <v>2.6499999999999999E-2</v>
      </c>
      <c r="AJ32" s="8">
        <v>43405</v>
      </c>
      <c r="AK32" s="9">
        <v>39</v>
      </c>
      <c r="AL32" s="10">
        <v>2.5000000000000001E-2</v>
      </c>
      <c r="AM32" s="20">
        <f>AL32</f>
        <v>2.5000000000000001E-2</v>
      </c>
      <c r="AO32" s="8">
        <v>43405</v>
      </c>
      <c r="AP32" s="9">
        <v>35.32</v>
      </c>
      <c r="AQ32" s="10">
        <v>0.15390000000000001</v>
      </c>
      <c r="AR32" s="20">
        <f>AQ32</f>
        <v>0.15390000000000001</v>
      </c>
      <c r="AT32" s="8">
        <v>43405</v>
      </c>
      <c r="AU32" s="9">
        <v>10.47</v>
      </c>
      <c r="AV32" s="10">
        <v>3.2500000000000001E-2</v>
      </c>
      <c r="AW32" s="20">
        <f>AV32</f>
        <v>3.2500000000000001E-2</v>
      </c>
      <c r="AY32" s="8">
        <v>43405</v>
      </c>
      <c r="AZ32" s="9">
        <v>122.58</v>
      </c>
      <c r="BA32" s="10">
        <v>5.8000000000000003E-2</v>
      </c>
      <c r="BB32" s="19">
        <f>BA32</f>
        <v>5.8000000000000003E-2</v>
      </c>
      <c r="BD32" s="8">
        <v>43405</v>
      </c>
      <c r="BE32" s="9">
        <v>25.37</v>
      </c>
      <c r="BF32" s="10">
        <v>2.3E-2</v>
      </c>
      <c r="BG32" s="19">
        <f>BF32</f>
        <v>2.3E-2</v>
      </c>
      <c r="BI32" s="8">
        <v>43405</v>
      </c>
      <c r="BJ32" s="9">
        <v>121.3</v>
      </c>
      <c r="BK32" s="10">
        <v>-5.7700000000000001E-2</v>
      </c>
      <c r="BL32" s="18">
        <v>-5.7717703720966296E-2</v>
      </c>
      <c r="BM32" s="22"/>
      <c r="BN32" s="8">
        <v>43405</v>
      </c>
      <c r="BO32" s="9">
        <v>915</v>
      </c>
      <c r="BP32" s="10">
        <v>6.4299999999999996E-2</v>
      </c>
      <c r="BQ32" s="18">
        <v>6.4250488508420966E-2</v>
      </c>
      <c r="BR32" s="22"/>
      <c r="BS32" s="8">
        <v>43405</v>
      </c>
      <c r="BT32" s="9">
        <v>93.15</v>
      </c>
      <c r="BU32" s="10">
        <v>-0.16650000000000001</v>
      </c>
      <c r="BV32" s="18">
        <v>-0.16651753758052967</v>
      </c>
      <c r="BW32" s="22"/>
      <c r="BX32" s="8">
        <v>43405</v>
      </c>
      <c r="BY32" s="9">
        <v>176.47</v>
      </c>
      <c r="BZ32" s="10">
        <v>2.1899999999999999E-2</v>
      </c>
      <c r="CA32" s="18">
        <v>2.1888933927847631E-2</v>
      </c>
      <c r="CB32" s="22"/>
      <c r="CC32" s="8">
        <v>43405</v>
      </c>
      <c r="CD32" s="9">
        <v>12.53</v>
      </c>
      <c r="CE32" s="10">
        <v>-3.9800000000000002E-2</v>
      </c>
      <c r="CF32" s="18">
        <v>-3.9846743295019249E-2</v>
      </c>
      <c r="CG32" s="22"/>
      <c r="CH32" s="8">
        <v>43405</v>
      </c>
      <c r="CI32" s="9">
        <v>15.09</v>
      </c>
      <c r="CJ32" s="10">
        <v>-8.3199999999999996E-2</v>
      </c>
      <c r="CK32" s="18">
        <v>-8.3232077764277101E-2</v>
      </c>
      <c r="CL32" s="22"/>
      <c r="CM32" s="8">
        <v>43405</v>
      </c>
      <c r="CN32" s="9">
        <v>41.98</v>
      </c>
      <c r="CO32" s="10">
        <v>-0.1043</v>
      </c>
      <c r="CP32" s="18">
        <v>-0.10433112865372307</v>
      </c>
      <c r="CQ32" s="22"/>
      <c r="CR32" s="8">
        <v>43405</v>
      </c>
      <c r="CS32" s="9">
        <v>222.9</v>
      </c>
      <c r="CT32" s="10">
        <v>5.1400000000000001E-2</v>
      </c>
      <c r="CU32" s="18">
        <v>5.1415094339622769E-2</v>
      </c>
      <c r="CV32" s="22"/>
      <c r="CW32" s="8">
        <v>43405</v>
      </c>
      <c r="CX32" s="9">
        <v>141.11000000000001</v>
      </c>
      <c r="CY32" s="10">
        <v>-0.1603</v>
      </c>
      <c r="CZ32" s="18">
        <v>-0.16030943171675094</v>
      </c>
      <c r="DA32" s="22"/>
      <c r="DB32" s="8">
        <v>43405</v>
      </c>
      <c r="DC32" s="9">
        <v>65.319999999999993</v>
      </c>
      <c r="DD32" s="10">
        <v>9.2700000000000005E-2</v>
      </c>
      <c r="DE32" s="18">
        <v>9.2673134827701453E-2</v>
      </c>
      <c r="DF32" s="22"/>
      <c r="DG32" s="8">
        <v>43405</v>
      </c>
      <c r="DH32" s="9">
        <v>106.2</v>
      </c>
      <c r="DI32" s="10">
        <v>-2.9899999999999999E-2</v>
      </c>
      <c r="DJ32" s="18">
        <v>-2.9871197588380305E-2</v>
      </c>
      <c r="DK32" s="22"/>
      <c r="DL32" s="8">
        <v>43405</v>
      </c>
      <c r="DM32" s="9">
        <v>27.42</v>
      </c>
      <c r="DN32" s="10">
        <v>4.1399999999999999E-2</v>
      </c>
      <c r="DO32" s="18">
        <v>4.1397645271553429E-2</v>
      </c>
      <c r="DQ32" s="8">
        <v>43405</v>
      </c>
      <c r="DR32" s="9">
        <v>55.65</v>
      </c>
      <c r="DS32" s="10">
        <v>-4.9700000000000001E-2</v>
      </c>
      <c r="DT32" s="18">
        <v>-4.9700000000000001E-2</v>
      </c>
      <c r="DU32" s="24"/>
      <c r="DV32" s="8">
        <v>43405</v>
      </c>
      <c r="DW32" s="9">
        <v>77.459999999999994</v>
      </c>
      <c r="DX32" s="10">
        <v>-2.7300000000000001E-2</v>
      </c>
      <c r="DY32" s="18">
        <v>-2.7300000000000001E-2</v>
      </c>
      <c r="DZ32" s="24"/>
      <c r="EA32" s="8">
        <v>43405</v>
      </c>
      <c r="EB32" s="9">
        <v>29.695</v>
      </c>
      <c r="EC32" s="10">
        <v>2.7699999999999999E-2</v>
      </c>
      <c r="ED32" s="18">
        <f>EC32</f>
        <v>2.7699999999999999E-2</v>
      </c>
      <c r="EE32" s="24"/>
      <c r="EF32" s="8">
        <v>43405</v>
      </c>
      <c r="EG32" s="9">
        <v>93.17</v>
      </c>
      <c r="EH32" s="10">
        <v>3.44E-2</v>
      </c>
      <c r="EI32" s="18">
        <v>3.44E-2</v>
      </c>
      <c r="EJ32" s="24"/>
      <c r="EK32" s="8">
        <v>43405</v>
      </c>
      <c r="EL32" s="9">
        <v>90.72</v>
      </c>
      <c r="EM32" s="10">
        <v>-0.14649999999999999</v>
      </c>
      <c r="EN32" s="18">
        <v>-0.14649999999999999</v>
      </c>
      <c r="EO32" s="24"/>
      <c r="EP32" s="8">
        <v>43405</v>
      </c>
      <c r="EQ32" s="9">
        <v>47.56</v>
      </c>
      <c r="ER32" s="10">
        <v>-0.1137</v>
      </c>
      <c r="ES32" s="18">
        <v>-0.1137</v>
      </c>
      <c r="ET32" s="24"/>
      <c r="EU32" s="8">
        <v>43405</v>
      </c>
      <c r="EV32" s="9">
        <v>231.88</v>
      </c>
      <c r="EW32" s="10">
        <v>-0.19009999999999999</v>
      </c>
      <c r="EX32" s="18">
        <v>-0.19009999999999999</v>
      </c>
      <c r="EY32" s="24"/>
      <c r="EZ32" s="8">
        <v>43405</v>
      </c>
      <c r="FA32" s="9">
        <v>180.48</v>
      </c>
      <c r="FB32" s="10">
        <v>-2.3699999999999999E-2</v>
      </c>
      <c r="FC32" s="18">
        <v>-2.3699999999999999E-2</v>
      </c>
      <c r="FD32" s="24"/>
      <c r="FE32" s="8">
        <v>43405</v>
      </c>
      <c r="FF32" s="9">
        <v>44.15</v>
      </c>
      <c r="FG32" s="10">
        <v>7.8700000000000006E-2</v>
      </c>
      <c r="FH32" s="18">
        <v>7.8700000000000006E-2</v>
      </c>
      <c r="FI32" s="24"/>
      <c r="FJ32" s="8">
        <v>43405</v>
      </c>
      <c r="FK32" s="9">
        <v>12.7</v>
      </c>
      <c r="FL32" s="10">
        <v>1.3599999999999999E-2</v>
      </c>
      <c r="FM32" s="18">
        <v>1.3599999999999999E-2</v>
      </c>
      <c r="FN32" s="24"/>
      <c r="FO32" s="8">
        <v>43405</v>
      </c>
      <c r="FP32" s="9">
        <v>50.34</v>
      </c>
      <c r="FQ32" s="10">
        <v>-2.9700000000000001E-2</v>
      </c>
      <c r="FR32" s="18">
        <v>-2.9700000000000001E-2</v>
      </c>
    </row>
    <row r="33" spans="1:174" ht="15.75" thickBot="1">
      <c r="A33" s="1"/>
      <c r="C33" s="15" t="s">
        <v>6</v>
      </c>
      <c r="D33" s="5">
        <f>(1+AVERAGE(D21:D32))^12-1</f>
        <v>-0.19703369689856909</v>
      </c>
      <c r="F33" s="1"/>
      <c r="H33" s="15" t="s">
        <v>6</v>
      </c>
      <c r="I33" s="5">
        <f>(1+AVERAGE(I21:I32))^12-1</f>
        <v>2.7695851579487396E-2</v>
      </c>
      <c r="K33" s="1"/>
      <c r="M33" s="15" t="s">
        <v>6</v>
      </c>
      <c r="N33" s="5">
        <f>(1+AVERAGE(N21:N32))^12-1</f>
        <v>5.4065028571721685E-2</v>
      </c>
      <c r="P33" s="1"/>
      <c r="R33" s="15" t="s">
        <v>6</v>
      </c>
      <c r="S33" s="5">
        <f>(1+AVERAGE(S21:S32))^12-1</f>
        <v>5.50482766883853E-2</v>
      </c>
      <c r="U33" s="1"/>
      <c r="W33" s="15" t="s">
        <v>6</v>
      </c>
      <c r="X33" s="5">
        <f>(1+AVERAGE(X21:X32))^12-1</f>
        <v>-2.4940207700279715E-2</v>
      </c>
      <c r="Z33" s="1"/>
      <c r="AB33" s="15" t="s">
        <v>6</v>
      </c>
      <c r="AC33" s="5">
        <f>(1+AVERAGE(AC21:AC32))^12-1</f>
        <v>-0.21370926081426656</v>
      </c>
      <c r="AE33" s="1"/>
      <c r="AG33" s="15" t="s">
        <v>6</v>
      </c>
      <c r="AH33" s="5">
        <f>(1+AVERAGE(AH21:AH32))^12-1</f>
        <v>0.36241868286481349</v>
      </c>
      <c r="AJ33" s="1"/>
      <c r="AL33" s="15" t="s">
        <v>6</v>
      </c>
      <c r="AM33" s="5">
        <f>(1+AVERAGE(AM21:AM32))^12-1</f>
        <v>-5.0366142848285333E-2</v>
      </c>
      <c r="AO33" s="1"/>
      <c r="AQ33" s="15" t="s">
        <v>6</v>
      </c>
      <c r="AR33" s="5">
        <f>(1+AVERAGE(AR21:AR32))^12-1</f>
        <v>0.44634514583069218</v>
      </c>
      <c r="AT33" s="1"/>
      <c r="AV33" s="15" t="s">
        <v>6</v>
      </c>
      <c r="AW33" s="5">
        <f>(1+AVERAGE(AW21:AW32))^12-1</f>
        <v>-0.26139891953559291</v>
      </c>
      <c r="AY33" s="1"/>
      <c r="BA33" s="15" t="s">
        <v>6</v>
      </c>
      <c r="BB33" s="5">
        <f>(1+AVERAGE(BB21:BB32))^12-1</f>
        <v>-7.2062217533510164E-2</v>
      </c>
      <c r="BD33" s="1"/>
      <c r="BF33" s="15" t="s">
        <v>6</v>
      </c>
      <c r="BG33" s="5">
        <f>(1+AVERAGE(BG21:BG32))^12-1</f>
        <v>0.30675544769898155</v>
      </c>
      <c r="BI33" s="1"/>
      <c r="BJ33" s="22"/>
      <c r="BK33" s="15" t="s">
        <v>6</v>
      </c>
      <c r="BL33" s="5">
        <f>(1+AVERAGE(BL21:BL32))^12-1</f>
        <v>-0.21682418765415823</v>
      </c>
      <c r="BM33" s="22"/>
      <c r="BN33" s="1"/>
      <c r="BO33" s="22"/>
      <c r="BP33" s="15" t="s">
        <v>6</v>
      </c>
      <c r="BQ33" s="5">
        <f>(1+AVERAGE(BQ21:BQ32))^12-1</f>
        <v>0.65549029053987296</v>
      </c>
      <c r="BR33" s="22"/>
      <c r="BS33" s="1"/>
      <c r="BT33" s="22"/>
      <c r="BU33" s="15" t="s">
        <v>6</v>
      </c>
      <c r="BV33" s="5">
        <f>(1+AVERAGE(BV21:BV32))^12-1</f>
        <v>-8.3786901761672139E-3</v>
      </c>
      <c r="BW33" s="22"/>
      <c r="BX33" s="1"/>
      <c r="BY33" s="22"/>
      <c r="BZ33" s="15" t="s">
        <v>6</v>
      </c>
      <c r="CA33" s="5">
        <f>(1+AVERAGE(CA21:CA32))^12-1</f>
        <v>-3.32566192711925E-3</v>
      </c>
      <c r="CB33" s="22"/>
      <c r="CC33" s="1"/>
      <c r="CD33" s="22"/>
      <c r="CE33" s="15" t="s">
        <v>6</v>
      </c>
      <c r="CF33" s="5">
        <f>(1+AVERAGE(CF21:CF32))^12-1</f>
        <v>0.59925590638843884</v>
      </c>
      <c r="CG33" s="22"/>
      <c r="CH33" s="1"/>
      <c r="CI33" s="22"/>
      <c r="CJ33" s="15" t="s">
        <v>6</v>
      </c>
      <c r="CK33" s="5">
        <f>(1+AVERAGE(CK21:CK32))^12-1</f>
        <v>0.20779129485464543</v>
      </c>
      <c r="CL33" s="22"/>
      <c r="CM33" s="1"/>
      <c r="CN33" s="22"/>
      <c r="CO33" s="15" t="s">
        <v>6</v>
      </c>
      <c r="CP33" s="5">
        <f>(1+AVERAGE(CP21:CP32))^12-1</f>
        <v>0.12319585434743896</v>
      </c>
      <c r="CQ33" s="22"/>
      <c r="CR33" s="1"/>
      <c r="CS33" s="22"/>
      <c r="CT33" s="15" t="s">
        <v>6</v>
      </c>
      <c r="CU33" s="5">
        <f>(1+AVERAGE(CU21:CU32))^12-1</f>
        <v>-3.2011334496531929E-2</v>
      </c>
      <c r="CV33" s="22"/>
      <c r="CW33" s="1"/>
      <c r="CX33" s="22"/>
      <c r="CY33" s="15" t="s">
        <v>6</v>
      </c>
      <c r="CZ33" s="5">
        <f>(1+AVERAGE(CZ21:CZ32))^12-1</f>
        <v>0.24222398032879888</v>
      </c>
      <c r="DA33" s="22"/>
      <c r="DB33" s="1"/>
      <c r="DC33" s="22"/>
      <c r="DD33" s="15" t="s">
        <v>6</v>
      </c>
      <c r="DE33" s="5">
        <f>(1+AVERAGE(DE21:DE32))^12-1</f>
        <v>0.11145749174199171</v>
      </c>
      <c r="DF33" s="22"/>
      <c r="DG33" s="1"/>
      <c r="DH33" s="22"/>
      <c r="DI33" s="15" t="s">
        <v>6</v>
      </c>
      <c r="DJ33" s="5">
        <f>(1+AVERAGE(DJ21:DJ32))^12-1</f>
        <v>-1.3275953966475296E-2</v>
      </c>
      <c r="DK33" s="22"/>
      <c r="DL33" s="1"/>
      <c r="DM33" s="22"/>
      <c r="DN33" s="15" t="s">
        <v>6</v>
      </c>
      <c r="DO33" s="5">
        <f>(1+AVERAGE(DO21:DO32))^12-1</f>
        <v>-6.3778710266210847E-2</v>
      </c>
      <c r="DQ33" s="1"/>
      <c r="DR33" s="22"/>
      <c r="DS33" s="15" t="s">
        <v>6</v>
      </c>
      <c r="DT33" s="5">
        <f>((1+AVERAGE(DT21:DT32))^12)-1</f>
        <v>-0.2469188083832925</v>
      </c>
      <c r="DU33" s="24"/>
      <c r="DV33" s="1"/>
      <c r="DW33" s="22"/>
      <c r="DX33" s="15" t="s">
        <v>6</v>
      </c>
      <c r="DY33" s="5">
        <f>((1+AVERAGE(DY21:DY32))^12)-1</f>
        <v>9.1933636866156299E-2</v>
      </c>
      <c r="DZ33" s="24"/>
      <c r="EA33" s="1"/>
      <c r="EB33" s="22"/>
      <c r="EC33" s="15" t="s">
        <v>6</v>
      </c>
      <c r="ED33" s="5">
        <f>SUM(ED21:ED32)</f>
        <v>0.29869762092891267</v>
      </c>
      <c r="EE33" s="24"/>
      <c r="EF33" s="1"/>
      <c r="EG33" s="22"/>
      <c r="EH33" s="15" t="s">
        <v>6</v>
      </c>
      <c r="EI33" s="5">
        <f>SUM(EI21:EI32)</f>
        <v>-0.1240836693138702</v>
      </c>
      <c r="EJ33" s="24"/>
      <c r="EK33" s="1"/>
      <c r="EL33" s="22"/>
      <c r="EM33" s="15" t="s">
        <v>6</v>
      </c>
      <c r="EN33" s="5">
        <f>SUM(EN21:EN32)</f>
        <v>0.25942892348310298</v>
      </c>
      <c r="EO33" s="24"/>
      <c r="EP33" s="1"/>
      <c r="EQ33" s="22"/>
      <c r="ER33" s="15" t="s">
        <v>6</v>
      </c>
      <c r="ES33" s="5">
        <f>SUM(ES21:ES32)</f>
        <v>-0.22630579372767373</v>
      </c>
      <c r="ET33" s="24"/>
      <c r="EU33" s="1"/>
      <c r="EV33" s="22"/>
      <c r="EW33" s="15" t="s">
        <v>6</v>
      </c>
      <c r="EX33" s="5">
        <f>SUM(EX21:EX32)</f>
        <v>-6.0790821711897286E-2</v>
      </c>
      <c r="EY33" s="24"/>
      <c r="EZ33" s="1"/>
      <c r="FA33" s="22"/>
      <c r="FB33" s="15" t="s">
        <v>6</v>
      </c>
      <c r="FC33" s="5">
        <f>SUM(FC21:FC32)</f>
        <v>-2.9110918573322084E-2</v>
      </c>
      <c r="FD33" s="24"/>
      <c r="FE33" s="1"/>
      <c r="FF33" s="22"/>
      <c r="FG33" s="15" t="s">
        <v>6</v>
      </c>
      <c r="FH33" s="5">
        <f>SUM(FH21:FH32)</f>
        <v>0.75156765486065791</v>
      </c>
      <c r="FI33" s="24"/>
      <c r="FJ33" s="1"/>
      <c r="FK33" s="22"/>
      <c r="FL33" s="15" t="s">
        <v>6</v>
      </c>
      <c r="FM33" s="5">
        <f>SUM(FM21:FM32)</f>
        <v>1.8420153633453937E-2</v>
      </c>
      <c r="FN33" s="24"/>
      <c r="FO33" s="1"/>
      <c r="FP33" s="22"/>
      <c r="FQ33" s="15" t="s">
        <v>6</v>
      </c>
      <c r="FR33" s="5">
        <f>SUM(FR21:FR32)</f>
        <v>0.11570060021252887</v>
      </c>
    </row>
    <row r="34" spans="1:174" ht="15.75" thickBot="1">
      <c r="A34" s="1"/>
      <c r="C34" s="2"/>
      <c r="BI34" s="1"/>
      <c r="BJ34" s="22"/>
      <c r="BK34" s="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Q34" s="1"/>
      <c r="DR34" s="22"/>
      <c r="DS34" s="2"/>
      <c r="DT34" s="22"/>
      <c r="DU34" s="24"/>
      <c r="DV34" s="1"/>
      <c r="DW34" s="22"/>
      <c r="DX34" s="2"/>
      <c r="DY34" s="22"/>
      <c r="DZ34" s="24"/>
      <c r="EA34" s="1"/>
      <c r="EB34" s="22"/>
      <c r="EC34" s="2"/>
      <c r="ED34" s="22"/>
      <c r="EE34" s="24"/>
      <c r="EF34" s="1"/>
      <c r="EG34" s="22"/>
      <c r="EH34" s="2"/>
      <c r="EI34" s="22"/>
      <c r="EJ34" s="27"/>
      <c r="EK34" s="1"/>
      <c r="EL34" s="22"/>
      <c r="EM34" s="2"/>
      <c r="EN34" s="22"/>
      <c r="EO34" s="27"/>
      <c r="EP34" s="1"/>
      <c r="EQ34" s="22"/>
      <c r="ER34" s="2"/>
      <c r="ES34" s="22"/>
      <c r="ET34" s="27"/>
      <c r="EU34" s="1"/>
      <c r="EV34" s="22"/>
      <c r="EW34" s="2"/>
      <c r="EX34" s="22"/>
      <c r="EY34" s="27"/>
      <c r="EZ34" s="1"/>
      <c r="FA34" s="22"/>
      <c r="FB34" s="2"/>
      <c r="FC34" s="22"/>
      <c r="FD34" s="27"/>
      <c r="FE34" s="1"/>
      <c r="FF34" s="22"/>
      <c r="FG34" s="2"/>
      <c r="FH34" s="22"/>
      <c r="FI34" s="27"/>
      <c r="FJ34" s="1"/>
      <c r="FK34" s="22"/>
      <c r="FL34" s="2"/>
      <c r="FM34" s="22"/>
      <c r="FN34" s="27"/>
      <c r="FO34" s="1"/>
      <c r="FP34" s="22"/>
      <c r="FQ34" s="2"/>
      <c r="FR34" s="22"/>
    </row>
    <row r="35" spans="1:174" ht="15.75" thickBot="1">
      <c r="A35" s="34" t="s">
        <v>7</v>
      </c>
      <c r="B35" s="35"/>
      <c r="C35" s="35"/>
      <c r="D35" s="36">
        <f>AVERAGE(D33,D17)</f>
        <v>6.2443179639881663E-4</v>
      </c>
      <c r="F35" s="34" t="s">
        <v>7</v>
      </c>
      <c r="G35" s="35"/>
      <c r="H35" s="35"/>
      <c r="I35" s="36">
        <f>AVERAGE(I33,I17)</f>
        <v>-0.21530802719741782</v>
      </c>
      <c r="K35" s="34" t="s">
        <v>7</v>
      </c>
      <c r="L35" s="35"/>
      <c r="M35" s="35"/>
      <c r="N35" s="36">
        <f>AVERAGE(N33,N17)</f>
        <v>-4.4382421529697069E-2</v>
      </c>
      <c r="P35" s="34" t="s">
        <v>7</v>
      </c>
      <c r="Q35" s="35"/>
      <c r="R35" s="35"/>
      <c r="S35" s="36">
        <f>AVERAGE(S33,S17)</f>
        <v>-3.3081130073912279E-2</v>
      </c>
      <c r="U35" s="34" t="s">
        <v>7</v>
      </c>
      <c r="V35" s="35"/>
      <c r="W35" s="35"/>
      <c r="X35" s="36">
        <f>AVERAGE(X33,X17)</f>
        <v>-8.2612688787945976E-2</v>
      </c>
      <c r="Y35" s="22"/>
      <c r="Z35" s="34" t="s">
        <v>7</v>
      </c>
      <c r="AA35" s="35"/>
      <c r="AB35" s="35"/>
      <c r="AC35" s="36">
        <f>AVERAGE(AC33,AC17)</f>
        <v>-0.30011528225158673</v>
      </c>
      <c r="AD35" s="22"/>
      <c r="AE35" s="34" t="s">
        <v>7</v>
      </c>
      <c r="AF35" s="35"/>
      <c r="AG35" s="35"/>
      <c r="AH35" s="36">
        <f>AVERAGE(AH33,AH17)</f>
        <v>0.39064616568912014</v>
      </c>
      <c r="AI35" s="22"/>
      <c r="AJ35" s="34" t="s">
        <v>7</v>
      </c>
      <c r="AK35" s="35"/>
      <c r="AL35" s="35"/>
      <c r="AM35" s="36">
        <f>AVERAGE(AM33,AM17)</f>
        <v>6.4684996717427001E-2</v>
      </c>
      <c r="AO35" s="34" t="s">
        <v>7</v>
      </c>
      <c r="AP35" s="35"/>
      <c r="AQ35" s="35"/>
      <c r="AR35" s="36">
        <f>AVERAGE(AR33,AR17)</f>
        <v>0.25880513997328036</v>
      </c>
      <c r="AS35" s="22"/>
      <c r="AT35" s="34" t="s">
        <v>7</v>
      </c>
      <c r="AU35" s="35"/>
      <c r="AV35" s="35"/>
      <c r="AW35" s="36">
        <f>AVERAGE(AW33,AW17)</f>
        <v>3.0976026088435804E-2</v>
      </c>
      <c r="AX35" s="22"/>
      <c r="AY35" s="34" t="s">
        <v>7</v>
      </c>
      <c r="AZ35" s="35"/>
      <c r="BA35" s="35"/>
      <c r="BB35" s="36">
        <f>AVERAGE(BB33,BB17)</f>
        <v>-0.1482876005197985</v>
      </c>
      <c r="BC35" s="22"/>
      <c r="BD35" s="34" t="s">
        <v>7</v>
      </c>
      <c r="BE35" s="35"/>
      <c r="BF35" s="35"/>
      <c r="BG35" s="36">
        <f>AVERAGE(BG33,BG17)</f>
        <v>0.20825371326629905</v>
      </c>
      <c r="BI35" s="34" t="s">
        <v>7</v>
      </c>
      <c r="BJ35" s="35"/>
      <c r="BK35" s="35"/>
      <c r="BL35" s="36">
        <f>AVERAGE(BL33,BL17)</f>
        <v>-0.2650468200653755</v>
      </c>
      <c r="BM35" s="22"/>
      <c r="BN35" s="34" t="s">
        <v>7</v>
      </c>
      <c r="BO35" s="35"/>
      <c r="BP35" s="35"/>
      <c r="BQ35" s="36">
        <f>AVERAGE(BQ33,BQ17)</f>
        <v>0.26004011667424337</v>
      </c>
      <c r="BR35" s="22"/>
      <c r="BS35" s="34" t="s">
        <v>7</v>
      </c>
      <c r="BT35" s="35"/>
      <c r="BU35" s="35"/>
      <c r="BV35" s="36">
        <f>AVERAGE(BV33,BV17)</f>
        <v>2.171139786474735E-2</v>
      </c>
      <c r="BW35" s="22"/>
      <c r="BX35" s="34" t="s">
        <v>7</v>
      </c>
      <c r="BY35" s="35"/>
      <c r="BZ35" s="35"/>
      <c r="CA35" s="36">
        <f>AVERAGE(CA33,CA17)</f>
        <v>-0.16311339112209494</v>
      </c>
      <c r="CB35" s="22"/>
      <c r="CC35" s="34" t="s">
        <v>7</v>
      </c>
      <c r="CD35" s="35"/>
      <c r="CE35" s="35"/>
      <c r="CF35" s="36">
        <f>AVERAGE(CF33,CF17)</f>
        <v>0.28903712272561155</v>
      </c>
      <c r="CG35" s="22"/>
      <c r="CH35" s="34" t="s">
        <v>7</v>
      </c>
      <c r="CI35" s="35"/>
      <c r="CJ35" s="35"/>
      <c r="CK35" s="36">
        <f>AVERAGE(CK33,CK17)</f>
        <v>-0.22057871132438778</v>
      </c>
      <c r="CL35" s="22"/>
      <c r="CM35" s="34" t="s">
        <v>7</v>
      </c>
      <c r="CN35" s="35"/>
      <c r="CO35" s="35"/>
      <c r="CP35" s="36">
        <f>AVERAGE(CP33,CP17)</f>
        <v>0.17612875752416002</v>
      </c>
      <c r="CQ35" s="22"/>
      <c r="CR35" s="34" t="s">
        <v>7</v>
      </c>
      <c r="CS35" s="35"/>
      <c r="CT35" s="35"/>
      <c r="CU35" s="36">
        <f>AVERAGE(CU33,CU17)</f>
        <v>6.8947364044318504E-2</v>
      </c>
      <c r="CV35" s="22"/>
      <c r="CW35" s="34" t="s">
        <v>7</v>
      </c>
      <c r="CX35" s="35"/>
      <c r="CY35" s="35"/>
      <c r="CZ35" s="36">
        <f>AVERAGE(CZ33,CZ17)</f>
        <v>0.13788246772264956</v>
      </c>
      <c r="DA35" s="22"/>
      <c r="DB35" s="34" t="s">
        <v>7</v>
      </c>
      <c r="DC35" s="35"/>
      <c r="DD35" s="35"/>
      <c r="DE35" s="36">
        <f>AVERAGE(DE33,DE17)</f>
        <v>-0.12411408799673546</v>
      </c>
      <c r="DF35" s="22"/>
      <c r="DG35" s="34" t="s">
        <v>7</v>
      </c>
      <c r="DH35" s="35"/>
      <c r="DI35" s="35"/>
      <c r="DJ35" s="36">
        <f>AVERAGE(DJ33,DJ17)</f>
        <v>3.4604094996156021E-2</v>
      </c>
      <c r="DK35" s="22"/>
      <c r="DL35" s="34" t="s">
        <v>7</v>
      </c>
      <c r="DM35" s="35"/>
      <c r="DN35" s="35"/>
      <c r="DO35" s="36">
        <f>AVERAGE(DO33,DO17)</f>
        <v>-0.19141828468850669</v>
      </c>
      <c r="DQ35" s="34" t="s">
        <v>7</v>
      </c>
      <c r="DR35" s="35"/>
      <c r="DS35" s="35"/>
      <c r="DT35" s="36">
        <f>AVERAGE(DT33,DT17)</f>
        <v>-0.29005647387618394</v>
      </c>
      <c r="DU35" s="22"/>
      <c r="DV35" s="34" t="s">
        <v>7</v>
      </c>
      <c r="DW35" s="35"/>
      <c r="DX35" s="35"/>
      <c r="DY35" s="36">
        <f>AVERAGE(DY33,DY17)</f>
        <v>-2.0118771376109901E-2</v>
      </c>
      <c r="DZ35" s="22"/>
      <c r="EA35" s="34" t="s">
        <v>7</v>
      </c>
      <c r="EB35" s="35"/>
      <c r="EC35" s="35"/>
      <c r="ED35" s="36">
        <f>AVERAGE(ED33,ED17)</f>
        <v>6.4143076435343699E-2</v>
      </c>
      <c r="EE35" s="22"/>
      <c r="EF35" s="34" t="s">
        <v>7</v>
      </c>
      <c r="EG35" s="35"/>
      <c r="EH35" s="35"/>
      <c r="EI35" s="36">
        <f>AVERAGE(EI33,EI17)</f>
        <v>-0.12202017930655915</v>
      </c>
      <c r="EJ35" s="22"/>
      <c r="EK35" s="34" t="s">
        <v>7</v>
      </c>
      <c r="EL35" s="35"/>
      <c r="EM35" s="35"/>
      <c r="EN35" s="36">
        <f>AVERAGE(EN33,EN17)</f>
        <v>4.1418207862333245E-2</v>
      </c>
      <c r="EO35" s="22"/>
      <c r="EP35" s="34" t="s">
        <v>7</v>
      </c>
      <c r="EQ35" s="35"/>
      <c r="ER35" s="35"/>
      <c r="ES35" s="36">
        <f>AVERAGE(ES33,ES17)</f>
        <v>-0.11255524367428602</v>
      </c>
      <c r="ET35" s="22"/>
      <c r="EU35" s="34" t="s">
        <v>7</v>
      </c>
      <c r="EV35" s="35"/>
      <c r="EW35" s="35"/>
      <c r="EX35" s="36">
        <f>AVERAGE(EX33,EX17)</f>
        <v>0.28715929979878563</v>
      </c>
      <c r="EY35" s="24"/>
      <c r="EZ35" s="34" t="s">
        <v>7</v>
      </c>
      <c r="FA35" s="35"/>
      <c r="FB35" s="35"/>
      <c r="FC35" s="36">
        <f>AVERAGE(FC33,FC17)</f>
        <v>-0.112797871959504</v>
      </c>
      <c r="FD35" s="22"/>
      <c r="FE35" s="34" t="s">
        <v>7</v>
      </c>
      <c r="FF35" s="35"/>
      <c r="FG35" s="35"/>
      <c r="FH35" s="36">
        <f>AVERAGE(FH33,FH17)</f>
        <v>0.49882497959606903</v>
      </c>
      <c r="FI35" s="22"/>
      <c r="FJ35" s="34" t="s">
        <v>7</v>
      </c>
      <c r="FK35" s="35"/>
      <c r="FL35" s="35"/>
      <c r="FM35" s="36">
        <f>AVERAGE(FM33,FM17)</f>
        <v>0.31419157319027508</v>
      </c>
      <c r="FN35" s="22"/>
      <c r="FO35" s="34" t="s">
        <v>7</v>
      </c>
      <c r="FP35" s="35"/>
      <c r="FQ35" s="35"/>
      <c r="FR35" s="36">
        <f>AVERAGE(FR33,FR17)</f>
        <v>3.7357494529405566E-3</v>
      </c>
    </row>
    <row r="36" spans="1:174">
      <c r="A36" s="1"/>
      <c r="C36" s="2"/>
    </row>
    <row r="37" spans="1:174">
      <c r="A37" s="1"/>
      <c r="C37" s="2"/>
    </row>
    <row r="38" spans="1:174">
      <c r="A38" s="106" t="s">
        <v>8</v>
      </c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</row>
    <row r="39" spans="1:174">
      <c r="B39" s="22" t="s">
        <v>62</v>
      </c>
      <c r="C39" s="2" t="s">
        <v>63</v>
      </c>
      <c r="D39" s="48" t="s">
        <v>64</v>
      </c>
      <c r="E39" s="22" t="s">
        <v>65</v>
      </c>
      <c r="F39" s="22" t="s">
        <v>66</v>
      </c>
      <c r="G39" s="22" t="s">
        <v>67</v>
      </c>
      <c r="H39" s="22" t="s">
        <v>68</v>
      </c>
      <c r="I39" s="22" t="s">
        <v>69</v>
      </c>
      <c r="J39" s="22" t="s">
        <v>70</v>
      </c>
      <c r="K39" s="22" t="s">
        <v>71</v>
      </c>
      <c r="L39" s="48" t="s">
        <v>72</v>
      </c>
      <c r="M39" s="22" t="s">
        <v>73</v>
      </c>
      <c r="N39" s="22" t="s">
        <v>74</v>
      </c>
      <c r="O39" s="22" t="s">
        <v>75</v>
      </c>
      <c r="P39" s="22" t="s">
        <v>76</v>
      </c>
      <c r="Q39" s="22" t="s">
        <v>77</v>
      </c>
      <c r="R39" s="48" t="s">
        <v>78</v>
      </c>
      <c r="S39" s="22" t="s">
        <v>79</v>
      </c>
      <c r="T39" s="22" t="s">
        <v>80</v>
      </c>
      <c r="U39" s="22" t="s">
        <v>81</v>
      </c>
      <c r="V39" s="48" t="s">
        <v>82</v>
      </c>
      <c r="W39" s="48" t="s">
        <v>83</v>
      </c>
      <c r="X39" s="22" t="s">
        <v>84</v>
      </c>
      <c r="Y39" s="22" t="s">
        <v>85</v>
      </c>
      <c r="Z39" s="22" t="s">
        <v>86</v>
      </c>
      <c r="AA39" s="22" t="s">
        <v>87</v>
      </c>
      <c r="AB39" s="22" t="s">
        <v>88</v>
      </c>
      <c r="AC39" s="22" t="s">
        <v>89</v>
      </c>
      <c r="AD39" s="22" t="s">
        <v>90</v>
      </c>
      <c r="AE39" s="22" t="s">
        <v>91</v>
      </c>
      <c r="AF39" s="22" t="s">
        <v>92</v>
      </c>
      <c r="AG39" s="22" t="s">
        <v>93</v>
      </c>
      <c r="AH39" s="22" t="s">
        <v>94</v>
      </c>
      <c r="AI39" s="22" t="s">
        <v>95</v>
      </c>
      <c r="AJ39" s="22" t="s">
        <v>96</v>
      </c>
    </row>
    <row r="40" spans="1:174">
      <c r="A40" s="1" t="s">
        <v>62</v>
      </c>
      <c r="B40" s="52">
        <v>0.99999999999999978</v>
      </c>
      <c r="C40" s="53">
        <v>0.77763479254451806</v>
      </c>
      <c r="D40" s="32">
        <v>0.41010092059687892</v>
      </c>
      <c r="E40" s="33">
        <v>0.20971328667641681</v>
      </c>
      <c r="F40" s="54">
        <v>0.63748944344743663</v>
      </c>
      <c r="G40" s="54">
        <v>0.51274931030010606</v>
      </c>
      <c r="H40" s="54">
        <v>0.52223883461400722</v>
      </c>
      <c r="I40" s="29">
        <v>-0.13350758538762272</v>
      </c>
      <c r="J40" s="33">
        <v>0.45720857747745625</v>
      </c>
      <c r="K40" s="33">
        <v>0.46016093887450116</v>
      </c>
      <c r="L40" s="33">
        <v>0.32230494454727898</v>
      </c>
      <c r="M40" s="54">
        <v>0.63282453724384646</v>
      </c>
      <c r="N40" s="54">
        <v>0.73353704505103368</v>
      </c>
      <c r="O40" s="29">
        <v>-0.17918204197006732</v>
      </c>
      <c r="P40" s="33">
        <v>0.47497319179842235</v>
      </c>
      <c r="Q40" s="33">
        <v>0.43419722199739985</v>
      </c>
      <c r="R40" s="33">
        <v>0.11987582759092767</v>
      </c>
      <c r="S40" s="33">
        <v>0.44857525908705226</v>
      </c>
      <c r="T40" s="33">
        <v>0.4467205575880342</v>
      </c>
      <c r="U40" s="54">
        <v>0.58940237917503835</v>
      </c>
      <c r="V40" s="54">
        <v>0.74653337056302727</v>
      </c>
      <c r="W40" s="33">
        <v>0.36685326977246147</v>
      </c>
      <c r="X40" s="54">
        <v>0.52562599199977555</v>
      </c>
      <c r="Y40" s="33">
        <v>0.24053402111098121</v>
      </c>
      <c r="Z40" s="33">
        <v>0.29043450491521178</v>
      </c>
      <c r="AA40" s="33">
        <v>0.21011618316136366</v>
      </c>
      <c r="AB40" s="29">
        <v>-0.11915194506407793</v>
      </c>
      <c r="AC40" s="33">
        <v>2.959572477906719E-2</v>
      </c>
      <c r="AD40" s="54">
        <v>0.67293006386421639</v>
      </c>
      <c r="AE40" s="54">
        <v>0.67923796875726028</v>
      </c>
      <c r="AF40" s="33">
        <v>0.43500822677779227</v>
      </c>
      <c r="AG40" s="54">
        <v>0.56567643448600791</v>
      </c>
      <c r="AH40" s="54">
        <v>0.66336746180912776</v>
      </c>
      <c r="AI40" s="29">
        <v>-0.18972031735410042</v>
      </c>
      <c r="AJ40" s="29">
        <v>-5.4738447469608903E-2</v>
      </c>
      <c r="AK40" s="51"/>
      <c r="AL40" s="48"/>
      <c r="AM40" s="22" t="s">
        <v>48</v>
      </c>
    </row>
    <row r="41" spans="1:174">
      <c r="A41" s="1" t="s">
        <v>63</v>
      </c>
      <c r="B41" s="54">
        <v>0.77763479254451806</v>
      </c>
      <c r="C41" s="53">
        <v>1.0000000000000002</v>
      </c>
      <c r="D41" s="33">
        <v>0.49696640300051353</v>
      </c>
      <c r="E41" s="33">
        <v>0.35138889287072039</v>
      </c>
      <c r="F41" s="54">
        <v>0.72143531059238519</v>
      </c>
      <c r="G41" s="33">
        <v>0.48211596695024289</v>
      </c>
      <c r="H41" s="33">
        <v>0.44960631067754869</v>
      </c>
      <c r="I41" s="29">
        <v>-0.26902542697416482</v>
      </c>
      <c r="J41" s="54">
        <v>0.5725341877522041</v>
      </c>
      <c r="K41" s="54">
        <v>0.51457262995317721</v>
      </c>
      <c r="L41" s="33">
        <v>0.35031464887653652</v>
      </c>
      <c r="M41" s="54">
        <v>0.75075950634641853</v>
      </c>
      <c r="N41" s="54">
        <v>0.77589373084392821</v>
      </c>
      <c r="O41" s="29">
        <v>-0.22225574770802728</v>
      </c>
      <c r="P41" s="54">
        <v>0.53531448805155368</v>
      </c>
      <c r="Q41" s="33">
        <v>0.48702942086173623</v>
      </c>
      <c r="R41" s="33">
        <v>0.28769168839976611</v>
      </c>
      <c r="S41" s="54">
        <v>0.73248066218971253</v>
      </c>
      <c r="T41" s="33">
        <v>0.4451924068451345</v>
      </c>
      <c r="U41" s="54">
        <v>0.61031067158490615</v>
      </c>
      <c r="V41" s="54">
        <v>0.78067047575363246</v>
      </c>
      <c r="W41" s="33">
        <v>0.31459141589069867</v>
      </c>
      <c r="X41" s="54">
        <v>0.61710251656946313</v>
      </c>
      <c r="Y41" s="33">
        <v>0.38012868553097656</v>
      </c>
      <c r="Z41" s="33">
        <v>0.49663896167577981</v>
      </c>
      <c r="AA41" s="33">
        <v>0.43830814530605705</v>
      </c>
      <c r="AB41" s="33">
        <v>8.6869633544614286E-2</v>
      </c>
      <c r="AC41" s="29">
        <v>-0.18187792592777555</v>
      </c>
      <c r="AD41" s="54">
        <v>0.74976735910729364</v>
      </c>
      <c r="AE41" s="54">
        <v>0.6712358055837746</v>
      </c>
      <c r="AF41" s="33">
        <v>0.30069187130394243</v>
      </c>
      <c r="AG41" s="54">
        <v>0.63612807553829509</v>
      </c>
      <c r="AH41" s="54">
        <v>0.73635835518379511</v>
      </c>
      <c r="AI41" s="29">
        <v>-1.9748103542851052E-2</v>
      </c>
      <c r="AJ41" s="33">
        <v>7.5031640299628624E-2</v>
      </c>
      <c r="AK41" s="51"/>
      <c r="AL41" s="55"/>
      <c r="AM41" s="23" t="s">
        <v>49</v>
      </c>
    </row>
    <row r="42" spans="1:174">
      <c r="A42" s="1" t="s">
        <v>64</v>
      </c>
      <c r="B42" s="33">
        <v>0.41010092059687892</v>
      </c>
      <c r="C42" s="31">
        <v>0.49696640300051353</v>
      </c>
      <c r="D42" s="54">
        <v>1</v>
      </c>
      <c r="E42" s="33">
        <v>0.36743955488799135</v>
      </c>
      <c r="F42" s="54">
        <v>0.64571145791528473</v>
      </c>
      <c r="G42" s="33">
        <v>0.37509564513363225</v>
      </c>
      <c r="H42" s="33">
        <v>0.15028585846524964</v>
      </c>
      <c r="I42" s="29">
        <v>-0.25855559510112558</v>
      </c>
      <c r="J42" s="54">
        <v>0.51052036753061325</v>
      </c>
      <c r="K42" s="33">
        <v>0.42995365683270076</v>
      </c>
      <c r="L42" s="33">
        <v>0.21618214676039652</v>
      </c>
      <c r="M42" s="33">
        <v>0.38446816135927075</v>
      </c>
      <c r="N42" s="54">
        <v>0.57824970463713476</v>
      </c>
      <c r="O42" s="33">
        <v>0.10606400649962357</v>
      </c>
      <c r="P42" s="33">
        <v>0.48705078100167243</v>
      </c>
      <c r="Q42" s="33">
        <v>0.45693026121619773</v>
      </c>
      <c r="R42" s="33">
        <v>0.42403783826777458</v>
      </c>
      <c r="S42" s="33">
        <v>0.41458051071335494</v>
      </c>
      <c r="T42" s="33">
        <v>0.26044809001179647</v>
      </c>
      <c r="U42" s="33">
        <v>0.36028615113499757</v>
      </c>
      <c r="V42" s="54">
        <v>0.51233650147769605</v>
      </c>
      <c r="W42" s="33">
        <v>0.39104877849497049</v>
      </c>
      <c r="X42" s="33">
        <v>0.35652486438483566</v>
      </c>
      <c r="Y42" s="33">
        <v>0.27442282662901202</v>
      </c>
      <c r="Z42" s="33">
        <v>0.14119964066056426</v>
      </c>
      <c r="AA42" s="33">
        <v>0.41832784240903004</v>
      </c>
      <c r="AB42" s="33">
        <v>0.20177537638162679</v>
      </c>
      <c r="AC42" s="29">
        <v>-0.14668488334383756</v>
      </c>
      <c r="AD42" s="54">
        <v>0.59646030278810769</v>
      </c>
      <c r="AE42" s="54">
        <v>0.64461332964708173</v>
      </c>
      <c r="AF42" s="33">
        <v>0.32264865292747597</v>
      </c>
      <c r="AG42" s="54">
        <v>0.55851345540135333</v>
      </c>
      <c r="AH42" s="33">
        <v>0.39163152377095573</v>
      </c>
      <c r="AI42" s="33">
        <v>8.7792207898046801E-2</v>
      </c>
      <c r="AJ42" s="33">
        <v>0.17146940198028848</v>
      </c>
      <c r="AK42" s="51"/>
      <c r="AL42" s="56"/>
      <c r="AM42" s="23" t="s">
        <v>50</v>
      </c>
    </row>
    <row r="43" spans="1:174">
      <c r="A43" s="1" t="s">
        <v>65</v>
      </c>
      <c r="B43" s="33">
        <v>0.20971328667641681</v>
      </c>
      <c r="C43" s="31">
        <v>0.35138889287072039</v>
      </c>
      <c r="D43" s="33">
        <v>0.36743955488799135</v>
      </c>
      <c r="E43" s="54">
        <v>1.0000000000000004</v>
      </c>
      <c r="F43" s="33">
        <v>8.2688548700763087E-2</v>
      </c>
      <c r="G43" s="33">
        <v>0.30677520227858873</v>
      </c>
      <c r="H43" s="33">
        <v>4.2485603434920097E-2</v>
      </c>
      <c r="I43" s="29">
        <v>-0.23679737695302042</v>
      </c>
      <c r="J43" s="33">
        <v>0.28115698416738449</v>
      </c>
      <c r="K43" s="33">
        <v>0.32034304940127067</v>
      </c>
      <c r="L43" s="33">
        <v>0.11635741566482097</v>
      </c>
      <c r="M43" s="33">
        <v>0.11305839405770982</v>
      </c>
      <c r="N43" s="33">
        <v>0.35564417041305224</v>
      </c>
      <c r="O43" s="29">
        <v>-0.21729746347194193</v>
      </c>
      <c r="P43" s="33">
        <v>0.44384686940259432</v>
      </c>
      <c r="Q43" s="33">
        <v>0.12180085873856153</v>
      </c>
      <c r="R43" s="33">
        <v>0.34663419238915189</v>
      </c>
      <c r="S43" s="33">
        <v>0.28610210132757308</v>
      </c>
      <c r="T43" s="29">
        <v>-4.4224695668071572E-2</v>
      </c>
      <c r="U43" s="33">
        <v>0.24317871611678393</v>
      </c>
      <c r="V43" s="33">
        <v>0.12742562664426571</v>
      </c>
      <c r="W43" s="33">
        <v>0.22192555229250704</v>
      </c>
      <c r="X43" s="54">
        <v>0.60499579970313755</v>
      </c>
      <c r="Y43" s="33">
        <v>0.37684749891242669</v>
      </c>
      <c r="Z43" s="33">
        <v>0.16212626926792031</v>
      </c>
      <c r="AA43" s="33">
        <v>7.686508889699642E-2</v>
      </c>
      <c r="AB43" s="33">
        <v>0.35273578792227578</v>
      </c>
      <c r="AC43" s="33">
        <v>4.5566565454140874E-2</v>
      </c>
      <c r="AD43" s="33">
        <v>0.22079338160176379</v>
      </c>
      <c r="AE43" s="54">
        <v>0.54432533417659057</v>
      </c>
      <c r="AF43" s="33">
        <v>0.39610278871240545</v>
      </c>
      <c r="AG43" s="33">
        <v>0.43667439110348433</v>
      </c>
      <c r="AH43" s="33">
        <v>0.13419257890276332</v>
      </c>
      <c r="AI43" s="29">
        <v>-7.5313002110658653E-2</v>
      </c>
      <c r="AJ43" s="29">
        <v>-0.19898270928255313</v>
      </c>
      <c r="AK43" s="51"/>
      <c r="AL43" s="57"/>
      <c r="AM43" s="23" t="s">
        <v>51</v>
      </c>
    </row>
    <row r="44" spans="1:174">
      <c r="A44" s="1" t="s">
        <v>66</v>
      </c>
      <c r="B44" s="54">
        <v>0.63748944344743663</v>
      </c>
      <c r="C44" s="53">
        <v>0.72143531059238519</v>
      </c>
      <c r="D44" s="54">
        <v>0.64571145791528473</v>
      </c>
      <c r="E44" s="33">
        <v>8.2688548700763087E-2</v>
      </c>
      <c r="F44" s="54">
        <v>1</v>
      </c>
      <c r="G44" s="54">
        <v>0.60815990703937206</v>
      </c>
      <c r="H44" s="33">
        <v>0.25148411963722972</v>
      </c>
      <c r="I44" s="29">
        <v>-0.22449019543845436</v>
      </c>
      <c r="J44" s="33">
        <v>0.34564786346902149</v>
      </c>
      <c r="K44" s="54">
        <v>0.52396040035620828</v>
      </c>
      <c r="L44" s="33">
        <v>0.3550142373016702</v>
      </c>
      <c r="M44" s="54">
        <v>0.54969939052688577</v>
      </c>
      <c r="N44" s="54">
        <v>0.7117265008513014</v>
      </c>
      <c r="O44" s="29">
        <v>-2.7927493200178934E-2</v>
      </c>
      <c r="P44" s="54">
        <v>0.63370736482484002</v>
      </c>
      <c r="Q44" s="33">
        <v>0.32932641596046797</v>
      </c>
      <c r="R44" s="33">
        <v>0.37030336590234536</v>
      </c>
      <c r="S44" s="54">
        <v>0.66484293501906744</v>
      </c>
      <c r="T44" s="54">
        <v>0.50322510139621357</v>
      </c>
      <c r="U44" s="33">
        <v>0.31889131249463709</v>
      </c>
      <c r="V44" s="54">
        <v>0.90279432646033431</v>
      </c>
      <c r="W44" s="33">
        <v>0.37593618016806724</v>
      </c>
      <c r="X44" s="33">
        <v>0.44530078249724575</v>
      </c>
      <c r="Y44" s="33">
        <v>0.32347461637159691</v>
      </c>
      <c r="Z44" s="33">
        <v>0.37955807096346528</v>
      </c>
      <c r="AA44" s="33">
        <v>0.41948062886991899</v>
      </c>
      <c r="AB44" s="33">
        <v>4.9022459058569667E-2</v>
      </c>
      <c r="AC44" s="29">
        <v>-0.19595355220695726</v>
      </c>
      <c r="AD44" s="54">
        <v>0.86556041532203953</v>
      </c>
      <c r="AE44" s="54">
        <v>0.67854892011628876</v>
      </c>
      <c r="AF44" s="33">
        <v>0.24469460738340074</v>
      </c>
      <c r="AG44" s="54">
        <v>0.69658937833341783</v>
      </c>
      <c r="AH44" s="33">
        <v>0.39580498177291989</v>
      </c>
      <c r="AI44" s="29">
        <v>-7.4005688918631601E-2</v>
      </c>
      <c r="AJ44" s="33">
        <v>6.7859889324019901E-2</v>
      </c>
      <c r="AK44" s="51"/>
      <c r="AL44" s="48"/>
    </row>
    <row r="45" spans="1:174">
      <c r="A45" s="1" t="s">
        <v>67</v>
      </c>
      <c r="B45" s="54">
        <v>0.51274931030010606</v>
      </c>
      <c r="C45" s="31">
        <v>0.48211596695024289</v>
      </c>
      <c r="D45" s="33">
        <v>0.37509564513363225</v>
      </c>
      <c r="E45" s="33">
        <v>0.30677520227858873</v>
      </c>
      <c r="F45" s="54">
        <v>0.60815990703937206</v>
      </c>
      <c r="G45" s="54">
        <v>1.0000000000000002</v>
      </c>
      <c r="H45" s="29">
        <v>-1.6389356320944164E-2</v>
      </c>
      <c r="I45" s="29">
        <v>-0.41697580062539102</v>
      </c>
      <c r="J45" s="33">
        <v>4.4557848823368509E-2</v>
      </c>
      <c r="K45" s="33">
        <v>0.34261306545717307</v>
      </c>
      <c r="L45" s="33">
        <v>0.35702047234609641</v>
      </c>
      <c r="M45" s="33">
        <v>0.2187752839336457</v>
      </c>
      <c r="N45" s="54">
        <v>0.54553704750097121</v>
      </c>
      <c r="O45" s="29">
        <v>-0.16717476171101087</v>
      </c>
      <c r="P45" s="54">
        <v>0.72640224630099393</v>
      </c>
      <c r="Q45" s="33">
        <v>0.24606056574388349</v>
      </c>
      <c r="R45" s="33">
        <v>0.18724300797267004</v>
      </c>
      <c r="S45" s="54">
        <v>0.55025381826729203</v>
      </c>
      <c r="T45" s="33">
        <v>0.2143056880325295</v>
      </c>
      <c r="U45" s="29">
        <v>-0.13542961626433428</v>
      </c>
      <c r="V45" s="54">
        <v>0.68076516177096202</v>
      </c>
      <c r="W45" s="33">
        <v>0.30220703891682937</v>
      </c>
      <c r="X45" s="54">
        <v>0.59809076310876597</v>
      </c>
      <c r="Y45" s="33">
        <v>0.46400795952016893</v>
      </c>
      <c r="Z45" s="33">
        <v>0.38013188827780964</v>
      </c>
      <c r="AA45" s="33">
        <v>0.30307080082863153</v>
      </c>
      <c r="AB45" s="33">
        <v>1.4928644804962247E-2</v>
      </c>
      <c r="AC45" s="33">
        <v>0.18243936575135039</v>
      </c>
      <c r="AD45" s="54">
        <v>0.71723287049231432</v>
      </c>
      <c r="AE45" s="54">
        <v>0.5271868116981826</v>
      </c>
      <c r="AF45" s="29">
        <v>-1.3519805626341488E-2</v>
      </c>
      <c r="AG45" s="54">
        <v>0.53108062333044492</v>
      </c>
      <c r="AH45" s="33">
        <v>0.12918124816071541</v>
      </c>
      <c r="AI45" s="29">
        <v>-0.30024032722590921</v>
      </c>
      <c r="AJ45" s="29">
        <v>-1.0356810338197617E-2</v>
      </c>
      <c r="AK45" s="51"/>
      <c r="AL45" s="48"/>
    </row>
    <row r="46" spans="1:174">
      <c r="A46" s="1" t="s">
        <v>68</v>
      </c>
      <c r="B46" s="54">
        <v>0.52223883461400722</v>
      </c>
      <c r="C46" s="31">
        <v>0.44960631067754869</v>
      </c>
      <c r="D46" s="33">
        <v>0.15028585846524964</v>
      </c>
      <c r="E46" s="33">
        <v>4.2485603434920097E-2</v>
      </c>
      <c r="F46" s="33">
        <v>0.25148411963722972</v>
      </c>
      <c r="G46" s="29">
        <v>-1.6389356320944164E-2</v>
      </c>
      <c r="H46" s="54">
        <v>0.99999999999999989</v>
      </c>
      <c r="I46" s="33">
        <v>0.46027001629095393</v>
      </c>
      <c r="J46" s="33">
        <v>0.46900080346450457</v>
      </c>
      <c r="K46" s="33">
        <v>0.33434677048993861</v>
      </c>
      <c r="L46" s="33">
        <v>0.19655487759944668</v>
      </c>
      <c r="M46" s="54">
        <v>0.71891386558652215</v>
      </c>
      <c r="N46" s="33">
        <v>0.37683466527789339</v>
      </c>
      <c r="O46" s="29">
        <v>-0.25658868289020009</v>
      </c>
      <c r="P46" s="33">
        <v>0.18071124956399934</v>
      </c>
      <c r="Q46" s="33">
        <v>0.39032137756034307</v>
      </c>
      <c r="R46" s="33">
        <v>0.25912508623574537</v>
      </c>
      <c r="S46" s="33">
        <v>0.43943217549796365</v>
      </c>
      <c r="T46" s="54">
        <v>0.57388729256013649</v>
      </c>
      <c r="U46" s="33">
        <v>0.49660902013422326</v>
      </c>
      <c r="V46" s="33">
        <v>0.37920081643543002</v>
      </c>
      <c r="W46" s="33">
        <v>0.45133664370192533</v>
      </c>
      <c r="X46" s="33">
        <v>0.29077101847420128</v>
      </c>
      <c r="Y46" s="33">
        <v>7.0921010287987252E-2</v>
      </c>
      <c r="Z46" s="33">
        <v>7.1289500156389227E-2</v>
      </c>
      <c r="AA46" s="33">
        <v>0.27976879126641502</v>
      </c>
      <c r="AB46" s="29">
        <v>-6.3739747590017631E-2</v>
      </c>
      <c r="AC46" s="33">
        <v>0.15851759110189995</v>
      </c>
      <c r="AD46" s="33">
        <v>0.35750675546134458</v>
      </c>
      <c r="AE46" s="33">
        <v>0.41934128690136041</v>
      </c>
      <c r="AF46" s="33">
        <v>0.16835065556993553</v>
      </c>
      <c r="AG46" s="33">
        <v>0.34141358172407277</v>
      </c>
      <c r="AH46" s="54">
        <v>0.53590437147928893</v>
      </c>
      <c r="AI46" s="29">
        <v>-1.5641559427189092E-2</v>
      </c>
      <c r="AJ46" s="33">
        <v>1.5841057807880109E-2</v>
      </c>
      <c r="AK46" s="51"/>
      <c r="AL46" s="48"/>
    </row>
    <row r="47" spans="1:174">
      <c r="A47" s="1" t="s">
        <v>69</v>
      </c>
      <c r="B47" s="29">
        <v>-0.13350758538762272</v>
      </c>
      <c r="C47" s="30">
        <v>-0.26902542697416482</v>
      </c>
      <c r="D47" s="29">
        <v>-0.25855559510112558</v>
      </c>
      <c r="E47" s="29">
        <v>-0.23679737695302042</v>
      </c>
      <c r="F47" s="29">
        <v>-0.22449019543845436</v>
      </c>
      <c r="G47" s="29">
        <v>-0.41697580062539102</v>
      </c>
      <c r="H47" s="33">
        <v>0.46027001629095393</v>
      </c>
      <c r="I47" s="54">
        <v>1.0000000000000002</v>
      </c>
      <c r="J47" s="33">
        <v>2.0062994411208977E-2</v>
      </c>
      <c r="K47" s="33">
        <v>0.1758854319414821</v>
      </c>
      <c r="L47" s="29">
        <v>-9.2497630563005528E-2</v>
      </c>
      <c r="M47" s="33">
        <v>0.15907706110662678</v>
      </c>
      <c r="N47" s="29">
        <v>-0.20485035440393429</v>
      </c>
      <c r="O47" s="29">
        <v>-0.12603219071824029</v>
      </c>
      <c r="P47" s="29">
        <v>-0.14658324770382045</v>
      </c>
      <c r="Q47" s="29">
        <v>-6.1155478689495495E-2</v>
      </c>
      <c r="R47" s="33">
        <v>0.20699097377247441</v>
      </c>
      <c r="S47" s="29">
        <v>-0.20896883461061616</v>
      </c>
      <c r="T47" s="33">
        <v>0.34760587963325451</v>
      </c>
      <c r="U47" s="33">
        <v>0.20394541121796167</v>
      </c>
      <c r="V47" s="29">
        <v>-0.21142332000732988</v>
      </c>
      <c r="W47" s="33">
        <v>0.11811798704979985</v>
      </c>
      <c r="X47" s="29">
        <v>-0.18041596574846061</v>
      </c>
      <c r="Y47" s="33">
        <v>5.9724639281500012E-3</v>
      </c>
      <c r="Z47" s="29">
        <v>-0.38941355633104618</v>
      </c>
      <c r="AA47" s="29">
        <v>-4.5491117786287831E-2</v>
      </c>
      <c r="AB47" s="29">
        <v>-0.14684182963938708</v>
      </c>
      <c r="AC47" s="33">
        <v>0.14892222429127286</v>
      </c>
      <c r="AD47" s="29">
        <v>-0.31050337332338651</v>
      </c>
      <c r="AE47" s="29">
        <v>-0.17189732757839987</v>
      </c>
      <c r="AF47" s="33">
        <v>0.14034612045722339</v>
      </c>
      <c r="AG47" s="29">
        <v>-0.1558036932919489</v>
      </c>
      <c r="AH47" s="29">
        <v>-0.20937884299977355</v>
      </c>
      <c r="AI47" s="33">
        <v>8.3707828184880886E-2</v>
      </c>
      <c r="AJ47" s="33">
        <v>3.1854449251071899E-2</v>
      </c>
      <c r="AK47" s="51"/>
      <c r="AL47" s="48"/>
    </row>
    <row r="48" spans="1:174">
      <c r="A48" s="1" t="s">
        <v>70</v>
      </c>
      <c r="B48" s="33">
        <v>0.45720857747745625</v>
      </c>
      <c r="C48" s="53">
        <v>0.5725341877522041</v>
      </c>
      <c r="D48" s="54">
        <v>0.51052036753061325</v>
      </c>
      <c r="E48" s="33">
        <v>0.28115698416738449</v>
      </c>
      <c r="F48" s="33">
        <v>0.34564786346902149</v>
      </c>
      <c r="G48" s="33">
        <v>4.4557848823368509E-2</v>
      </c>
      <c r="H48" s="33">
        <v>0.46900080346450457</v>
      </c>
      <c r="I48" s="33">
        <v>2.0062994411208977E-2</v>
      </c>
      <c r="J48" s="54">
        <v>1</v>
      </c>
      <c r="K48" s="54">
        <v>0.50182742934514513</v>
      </c>
      <c r="L48" s="33">
        <v>0.27481732972341605</v>
      </c>
      <c r="M48" s="54">
        <v>0.56758303228111517</v>
      </c>
      <c r="N48" s="54">
        <v>0.6069105052051762</v>
      </c>
      <c r="O48" s="29">
        <v>-5.1457441472990979E-2</v>
      </c>
      <c r="P48" s="33">
        <v>0.16888648915342153</v>
      </c>
      <c r="Q48" s="54">
        <v>0.6254580621384972</v>
      </c>
      <c r="R48" s="33">
        <v>0.21724488815251883</v>
      </c>
      <c r="S48" s="33">
        <v>0.35279988942458124</v>
      </c>
      <c r="T48" s="33">
        <v>0.414208870377545</v>
      </c>
      <c r="U48" s="54">
        <v>0.5827899639535099</v>
      </c>
      <c r="V48" s="33">
        <v>0.31251476217556212</v>
      </c>
      <c r="W48" s="54">
        <v>0.54255969496868395</v>
      </c>
      <c r="X48" s="33">
        <v>0.26022290603439452</v>
      </c>
      <c r="Y48" s="33">
        <v>0.34493510232541036</v>
      </c>
      <c r="Z48" s="33">
        <v>0.1736340559693724</v>
      </c>
      <c r="AA48" s="33">
        <v>0.38027044435930968</v>
      </c>
      <c r="AB48" s="29">
        <v>-6.6641541681374511E-2</v>
      </c>
      <c r="AC48" s="29">
        <v>-0.14283190267406604</v>
      </c>
      <c r="AD48" s="33">
        <v>0.34902968632047288</v>
      </c>
      <c r="AE48" s="33">
        <v>0.49445308639189267</v>
      </c>
      <c r="AF48" s="33">
        <v>0.37813696788338308</v>
      </c>
      <c r="AG48" s="54">
        <v>0.50522290182652241</v>
      </c>
      <c r="AH48" s="54">
        <v>0.64078069091452583</v>
      </c>
      <c r="AI48" s="33">
        <v>0.29111175835637854</v>
      </c>
      <c r="AJ48" s="29">
        <v>-9.4899807630284772E-2</v>
      </c>
      <c r="AK48" s="51"/>
      <c r="AL48" s="48"/>
    </row>
    <row r="49" spans="1:38">
      <c r="A49" s="1" t="s">
        <v>71</v>
      </c>
      <c r="B49" s="33">
        <v>0.46016093887450116</v>
      </c>
      <c r="C49" s="53">
        <v>0.51457262995317721</v>
      </c>
      <c r="D49" s="33">
        <v>0.42995365683270076</v>
      </c>
      <c r="E49" s="33">
        <v>0.32034304940127067</v>
      </c>
      <c r="F49" s="54">
        <v>0.52396040035620828</v>
      </c>
      <c r="G49" s="33">
        <v>0.34261306545717307</v>
      </c>
      <c r="H49" s="33">
        <v>0.33434677048993861</v>
      </c>
      <c r="I49" s="33">
        <v>0.1758854319414821</v>
      </c>
      <c r="J49" s="54">
        <v>0.50182742934514513</v>
      </c>
      <c r="K49" s="54">
        <v>1.0000000000000002</v>
      </c>
      <c r="L49" s="33">
        <v>0.32669165373588144</v>
      </c>
      <c r="M49" s="33">
        <v>0.47087556276041487</v>
      </c>
      <c r="N49" s="54">
        <v>0.63673891236821389</v>
      </c>
      <c r="O49" s="29">
        <v>-0.19852862889125961</v>
      </c>
      <c r="P49" s="54">
        <v>0.66314915076214842</v>
      </c>
      <c r="Q49" s="33">
        <v>0.26729797790919024</v>
      </c>
      <c r="R49" s="33">
        <v>0.32204846768491358</v>
      </c>
      <c r="S49" s="33">
        <v>0.30443294890337896</v>
      </c>
      <c r="T49" s="33">
        <v>0.37840790595683377</v>
      </c>
      <c r="U49" s="33">
        <v>0.41268113601551798</v>
      </c>
      <c r="V49" s="33">
        <v>0.44404086391877651</v>
      </c>
      <c r="W49" s="33">
        <v>0.2775520214106304</v>
      </c>
      <c r="X49" s="54">
        <v>0.66411596387535943</v>
      </c>
      <c r="Y49" s="54">
        <v>0.53334225424722215</v>
      </c>
      <c r="Z49" s="33">
        <v>0.25513566866924048</v>
      </c>
      <c r="AA49" s="33">
        <v>0.40380559730786952</v>
      </c>
      <c r="AB49" s="29">
        <v>-3.3560279412035994E-2</v>
      </c>
      <c r="AC49" s="33">
        <v>0.12743511619996856</v>
      </c>
      <c r="AD49" s="33">
        <v>0.41882060847614128</v>
      </c>
      <c r="AE49" s="54">
        <v>0.6890936640358839</v>
      </c>
      <c r="AF49" s="33">
        <v>0.49961467755996991</v>
      </c>
      <c r="AG49" s="33">
        <v>0.37602348549903081</v>
      </c>
      <c r="AH49" s="33">
        <v>0.21328549251205797</v>
      </c>
      <c r="AI49" s="33">
        <v>0.31679114575868111</v>
      </c>
      <c r="AJ49" s="29">
        <v>-0.22439824781207654</v>
      </c>
      <c r="AK49" s="51"/>
      <c r="AL49" s="48"/>
    </row>
    <row r="50" spans="1:38">
      <c r="A50" s="1" t="s">
        <v>72</v>
      </c>
      <c r="B50" s="33">
        <v>0.32230494454727898</v>
      </c>
      <c r="C50" s="31">
        <v>0.35031464887653652</v>
      </c>
      <c r="D50" s="33">
        <v>0.21618214676039652</v>
      </c>
      <c r="E50" s="33">
        <v>0.11635741566482097</v>
      </c>
      <c r="F50" s="33">
        <v>0.3550142373016702</v>
      </c>
      <c r="G50" s="33">
        <v>0.35702047234609641</v>
      </c>
      <c r="H50" s="33">
        <v>0.19655487759944668</v>
      </c>
      <c r="I50" s="29">
        <v>-9.2497630563005528E-2</v>
      </c>
      <c r="J50" s="33">
        <v>0.27481732972341605</v>
      </c>
      <c r="K50" s="33">
        <v>0.32669165373588144</v>
      </c>
      <c r="L50" s="54">
        <v>0.99999999999999989</v>
      </c>
      <c r="M50" s="33">
        <v>0.25768165878837673</v>
      </c>
      <c r="N50" s="33">
        <v>0.49867358547761698</v>
      </c>
      <c r="O50" s="33">
        <v>0.18718791154786524</v>
      </c>
      <c r="P50" s="33">
        <v>0.10308757772082688</v>
      </c>
      <c r="Q50" s="54">
        <v>0.57844784181049036</v>
      </c>
      <c r="R50" s="33">
        <v>0.2806712100970698</v>
      </c>
      <c r="S50" s="33">
        <v>0.39776841188591006</v>
      </c>
      <c r="T50" s="33">
        <v>1.4635950048252726E-2</v>
      </c>
      <c r="U50" s="33">
        <v>0.27693488318256781</v>
      </c>
      <c r="V50" s="33">
        <v>0.27645176657018622</v>
      </c>
      <c r="W50" s="33">
        <v>0.36052277335779864</v>
      </c>
      <c r="X50" s="33">
        <v>0.2410079566571911</v>
      </c>
      <c r="Y50" s="33">
        <v>0.20243833851507001</v>
      </c>
      <c r="Z50" s="33">
        <v>0.15432670162361367</v>
      </c>
      <c r="AA50" s="33">
        <v>7.9296051967844103E-2</v>
      </c>
      <c r="AB50" s="33">
        <v>0.39544335323395879</v>
      </c>
      <c r="AC50" s="29">
        <v>-2.1000605848000157E-3</v>
      </c>
      <c r="AD50" s="33">
        <v>0.31657080504747753</v>
      </c>
      <c r="AE50" s="33">
        <v>0.26025973217976678</v>
      </c>
      <c r="AF50" s="33">
        <v>1.0907737854711224E-2</v>
      </c>
      <c r="AG50" s="54">
        <v>0.54937104261696945</v>
      </c>
      <c r="AH50" s="33">
        <v>0.17452972881273068</v>
      </c>
      <c r="AI50" s="33">
        <v>0.10036487826353832</v>
      </c>
      <c r="AJ50" s="33">
        <v>9.751394406224452E-2</v>
      </c>
      <c r="AK50" s="51"/>
      <c r="AL50" s="48"/>
    </row>
    <row r="51" spans="1:38">
      <c r="A51" s="1" t="s">
        <v>73</v>
      </c>
      <c r="B51" s="54">
        <v>0.63282453724384646</v>
      </c>
      <c r="C51" s="53">
        <v>0.75075950634641853</v>
      </c>
      <c r="D51" s="33">
        <v>0.38446816135927075</v>
      </c>
      <c r="E51" s="33">
        <v>0.11305839405770982</v>
      </c>
      <c r="F51" s="54">
        <v>0.54969939052688577</v>
      </c>
      <c r="G51" s="33">
        <v>0.2187752839336457</v>
      </c>
      <c r="H51" s="54">
        <v>0.71891386558652215</v>
      </c>
      <c r="I51" s="33">
        <v>0.15907706110662678</v>
      </c>
      <c r="J51" s="54">
        <v>0.56758303228111517</v>
      </c>
      <c r="K51" s="33">
        <v>0.47087556276041487</v>
      </c>
      <c r="L51" s="33">
        <v>0.25768165878837673</v>
      </c>
      <c r="M51" s="54">
        <v>1</v>
      </c>
      <c r="N51" s="54">
        <v>0.6776045555512813</v>
      </c>
      <c r="O51" s="29">
        <v>-0.19410050089081077</v>
      </c>
      <c r="P51" s="33">
        <v>0.49093977337255496</v>
      </c>
      <c r="Q51" s="54">
        <v>0.55292021517035439</v>
      </c>
      <c r="R51" s="33">
        <v>0.16941536553809186</v>
      </c>
      <c r="S51" s="54">
        <v>0.58011363364419632</v>
      </c>
      <c r="T51" s="54">
        <v>0.62529890118623921</v>
      </c>
      <c r="U51" s="54">
        <v>0.60183150106976335</v>
      </c>
      <c r="V51" s="54">
        <v>0.65793348129553009</v>
      </c>
      <c r="W51" s="33">
        <v>0.28855221202893028</v>
      </c>
      <c r="X51" s="33">
        <v>0.31803151550172626</v>
      </c>
      <c r="Y51" s="33">
        <v>0.23450216941297344</v>
      </c>
      <c r="Z51" s="33">
        <v>9.7193859582942438E-2</v>
      </c>
      <c r="AA51" s="54">
        <v>0.62963746115426977</v>
      </c>
      <c r="AB51" s="29">
        <v>-1.8622540146446372E-2</v>
      </c>
      <c r="AC51" s="29">
        <v>-0.15488803951787067</v>
      </c>
      <c r="AD51" s="54">
        <v>0.50361262923194217</v>
      </c>
      <c r="AE51" s="33">
        <v>0.45927817026089274</v>
      </c>
      <c r="AF51" s="33">
        <v>0.21142381790492099</v>
      </c>
      <c r="AG51" s="33">
        <v>0.43466648134159819</v>
      </c>
      <c r="AH51" s="54">
        <v>0.73069246533940369</v>
      </c>
      <c r="AI51" s="33">
        <v>6.1641955494245414E-2</v>
      </c>
      <c r="AJ51" s="33">
        <v>0.14514498302684825</v>
      </c>
      <c r="AK51" s="51"/>
      <c r="AL51" s="48"/>
    </row>
    <row r="52" spans="1:38">
      <c r="A52" s="1" t="s">
        <v>74</v>
      </c>
      <c r="B52" s="54">
        <v>0.73353704505103368</v>
      </c>
      <c r="C52" s="53">
        <v>0.77589373084392821</v>
      </c>
      <c r="D52" s="54">
        <v>0.57824970463713476</v>
      </c>
      <c r="E52" s="33">
        <v>0.35564417041305224</v>
      </c>
      <c r="F52" s="54">
        <v>0.7117265008513014</v>
      </c>
      <c r="G52" s="54">
        <v>0.54553704750097121</v>
      </c>
      <c r="H52" s="33">
        <v>0.37683466527789339</v>
      </c>
      <c r="I52" s="29">
        <v>-0.20485035440393429</v>
      </c>
      <c r="J52" s="54">
        <v>0.6069105052051762</v>
      </c>
      <c r="K52" s="54">
        <v>0.63673891236821389</v>
      </c>
      <c r="L52" s="33">
        <v>0.49867358547761698</v>
      </c>
      <c r="M52" s="54">
        <v>0.6776045555512813</v>
      </c>
      <c r="N52" s="54">
        <v>0.99999999999999978</v>
      </c>
      <c r="O52" s="29">
        <v>-0.1846119709259619</v>
      </c>
      <c r="P52" s="54">
        <v>0.61157922471599591</v>
      </c>
      <c r="Q52" s="54">
        <v>0.57984372636478665</v>
      </c>
      <c r="R52" s="33">
        <v>0.21438508842395496</v>
      </c>
      <c r="S52" s="54">
        <v>0.57587555190659534</v>
      </c>
      <c r="T52" s="33">
        <v>0.38476971425287165</v>
      </c>
      <c r="U52" s="33">
        <v>0.4618931037970273</v>
      </c>
      <c r="V52" s="54">
        <v>0.76682211445417692</v>
      </c>
      <c r="W52" s="33">
        <v>0.38568166715133556</v>
      </c>
      <c r="X52" s="54">
        <v>0.51337875374343667</v>
      </c>
      <c r="Y52" s="54">
        <v>0.5100524584210272</v>
      </c>
      <c r="Z52" s="33">
        <v>0.34112453106362139</v>
      </c>
      <c r="AA52" s="33">
        <v>0.49233462207289497</v>
      </c>
      <c r="AB52" s="33">
        <v>2.8997312499908553E-2</v>
      </c>
      <c r="AC52" s="29">
        <v>-0.20975129932061939</v>
      </c>
      <c r="AD52" s="54">
        <v>0.64080600329954307</v>
      </c>
      <c r="AE52" s="54">
        <v>0.76259755796181916</v>
      </c>
      <c r="AF52" s="33">
        <v>0.44552474832861871</v>
      </c>
      <c r="AG52" s="54">
        <v>0.72156958810701921</v>
      </c>
      <c r="AH52" s="54">
        <v>0.57487109905247724</v>
      </c>
      <c r="AI52" s="33">
        <v>0.23633116055003808</v>
      </c>
      <c r="AJ52" s="33">
        <v>9.0185417437999446E-2</v>
      </c>
      <c r="AK52" s="51"/>
      <c r="AL52" s="48"/>
    </row>
    <row r="53" spans="1:38">
      <c r="A53" s="1" t="s">
        <v>75</v>
      </c>
      <c r="B53" s="29">
        <v>-0.17918204197006732</v>
      </c>
      <c r="C53" s="30">
        <v>-0.22225574770802728</v>
      </c>
      <c r="D53" s="33">
        <v>0.10606400649962357</v>
      </c>
      <c r="E53" s="29">
        <v>-0.21729746347194193</v>
      </c>
      <c r="F53" s="29">
        <v>-2.7927493200178934E-2</v>
      </c>
      <c r="G53" s="29">
        <v>-0.16717476171101087</v>
      </c>
      <c r="H53" s="29">
        <v>-0.25658868289020009</v>
      </c>
      <c r="I53" s="29">
        <v>-0.12603219071824029</v>
      </c>
      <c r="J53" s="29">
        <v>-5.1457441472990979E-2</v>
      </c>
      <c r="K53" s="29">
        <v>-0.19852862889125961</v>
      </c>
      <c r="L53" s="33">
        <v>0.18718791154786524</v>
      </c>
      <c r="M53" s="29">
        <v>-0.19410050089081077</v>
      </c>
      <c r="N53" s="29">
        <v>-0.1846119709259619</v>
      </c>
      <c r="O53" s="54">
        <v>1.0000000000000002</v>
      </c>
      <c r="P53" s="29">
        <v>-0.30551003404757865</v>
      </c>
      <c r="Q53" s="33">
        <v>0.14445086886738581</v>
      </c>
      <c r="R53" s="33">
        <v>0.10203332024141601</v>
      </c>
      <c r="S53" s="29">
        <v>-0.17364188275422127</v>
      </c>
      <c r="T53" s="29">
        <v>-0.30770245519366152</v>
      </c>
      <c r="U53" s="29">
        <v>-2.1269726624478399E-2</v>
      </c>
      <c r="V53" s="29">
        <v>-0.1637503624617625</v>
      </c>
      <c r="W53" s="33">
        <v>0.16405858066953288</v>
      </c>
      <c r="X53" s="29">
        <v>-0.38668260853644831</v>
      </c>
      <c r="Y53" s="29">
        <v>-0.28300151171848614</v>
      </c>
      <c r="Z53" s="29">
        <v>-0.15392767622196094</v>
      </c>
      <c r="AA53" s="29">
        <v>-1.1957790325710408E-2</v>
      </c>
      <c r="AB53" s="33">
        <v>0.41044437404474565</v>
      </c>
      <c r="AC53" s="33">
        <v>2.731291459222402E-2</v>
      </c>
      <c r="AD53" s="29">
        <v>-0.12303400451007405</v>
      </c>
      <c r="AE53" s="29">
        <v>-0.28617508943138803</v>
      </c>
      <c r="AF53" s="29">
        <v>-9.1010213770582868E-2</v>
      </c>
      <c r="AG53" s="29">
        <v>-8.1583850840171571E-2</v>
      </c>
      <c r="AH53" s="29">
        <v>-2.886248003795918E-2</v>
      </c>
      <c r="AI53" s="29">
        <v>-0.14979599587372963</v>
      </c>
      <c r="AJ53" s="33">
        <v>4.9293974757935524E-2</v>
      </c>
      <c r="AK53" s="51"/>
      <c r="AL53" s="48"/>
    </row>
    <row r="54" spans="1:38">
      <c r="A54" s="1" t="s">
        <v>76</v>
      </c>
      <c r="B54" s="33">
        <v>0.47497319179842235</v>
      </c>
      <c r="C54" s="53">
        <v>0.53531448805155368</v>
      </c>
      <c r="D54" s="33">
        <v>0.48705078100167243</v>
      </c>
      <c r="E54" s="33">
        <v>0.44384686940259432</v>
      </c>
      <c r="F54" s="54">
        <v>0.63370736482484002</v>
      </c>
      <c r="G54" s="54">
        <v>0.72640224630099393</v>
      </c>
      <c r="H54" s="33">
        <v>0.18071124956399934</v>
      </c>
      <c r="I54" s="29">
        <v>-0.14658324770382045</v>
      </c>
      <c r="J54" s="33">
        <v>0.16888648915342153</v>
      </c>
      <c r="K54" s="54">
        <v>0.66314915076214842</v>
      </c>
      <c r="L54" s="33">
        <v>0.10308757772082688</v>
      </c>
      <c r="M54" s="33">
        <v>0.49093977337255496</v>
      </c>
      <c r="N54" s="54">
        <v>0.61157922471599591</v>
      </c>
      <c r="O54" s="29">
        <v>-0.30551003404757865</v>
      </c>
      <c r="P54" s="54">
        <v>0.99999999999999967</v>
      </c>
      <c r="Q54" s="33">
        <v>0.21323061341940086</v>
      </c>
      <c r="R54" s="33">
        <v>0.27233745142888172</v>
      </c>
      <c r="S54" s="54">
        <v>0.5109850596119182</v>
      </c>
      <c r="T54" s="33">
        <v>0.48495017351768122</v>
      </c>
      <c r="U54" s="33">
        <v>8.7277450607105178E-2</v>
      </c>
      <c r="V54" s="54">
        <v>0.6652739243950041</v>
      </c>
      <c r="W54" s="33">
        <v>9.4770257044262937E-2</v>
      </c>
      <c r="X54" s="54">
        <v>0.74325044554919228</v>
      </c>
      <c r="Y54" s="33">
        <v>0.4976904411878853</v>
      </c>
      <c r="Z54" s="33">
        <v>0.21994801550277654</v>
      </c>
      <c r="AA54" s="54">
        <v>0.55423568334371853</v>
      </c>
      <c r="AB54" s="29">
        <v>-7.9874288219023148E-2</v>
      </c>
      <c r="AC54" s="33">
        <v>0.10882074888932129</v>
      </c>
      <c r="AD54" s="54">
        <v>0.63392989945943012</v>
      </c>
      <c r="AE54" s="54">
        <v>0.67241344038823025</v>
      </c>
      <c r="AF54" s="33">
        <v>0.36777303543770745</v>
      </c>
      <c r="AG54" s="33">
        <v>0.41110316659504859</v>
      </c>
      <c r="AH54" s="33">
        <v>0.22022952151801162</v>
      </c>
      <c r="AI54" s="29">
        <v>-5.2116913561797318E-2</v>
      </c>
      <c r="AJ54" s="29">
        <v>-0.10570253026988792</v>
      </c>
      <c r="AK54" s="51"/>
      <c r="AL54" s="48"/>
    </row>
    <row r="55" spans="1:38">
      <c r="A55" s="1" t="s">
        <v>77</v>
      </c>
      <c r="B55" s="33">
        <v>0.43419722199739985</v>
      </c>
      <c r="C55" s="31">
        <v>0.48702942086173623</v>
      </c>
      <c r="D55" s="33">
        <v>0.45693026121619773</v>
      </c>
      <c r="E55" s="33">
        <v>0.12180085873856153</v>
      </c>
      <c r="F55" s="33">
        <v>0.32932641596046797</v>
      </c>
      <c r="G55" s="33">
        <v>0.24606056574388349</v>
      </c>
      <c r="H55" s="33">
        <v>0.39032137756034307</v>
      </c>
      <c r="I55" s="29">
        <v>-6.1155478689495495E-2</v>
      </c>
      <c r="J55" s="54">
        <v>0.6254580621384972</v>
      </c>
      <c r="K55" s="33">
        <v>0.26729797790919024</v>
      </c>
      <c r="L55" s="54">
        <v>0.57844784181049036</v>
      </c>
      <c r="M55" s="54">
        <v>0.55292021517035439</v>
      </c>
      <c r="N55" s="54">
        <v>0.57984372636478665</v>
      </c>
      <c r="O55" s="33">
        <v>0.14445086886738581</v>
      </c>
      <c r="P55" s="33">
        <v>0.21323061341940086</v>
      </c>
      <c r="Q55" s="54">
        <v>0.99999999999999978</v>
      </c>
      <c r="R55" s="33">
        <v>0.1756983987708651</v>
      </c>
      <c r="S55" s="33">
        <v>0.39472493268416309</v>
      </c>
      <c r="T55" s="33">
        <v>0.32245090244564373</v>
      </c>
      <c r="U55" s="33">
        <v>0.40161097956100894</v>
      </c>
      <c r="V55" s="33">
        <v>0.35323789306926218</v>
      </c>
      <c r="W55" s="33">
        <v>0.46923523490103219</v>
      </c>
      <c r="X55" s="33">
        <v>0.16726485374136157</v>
      </c>
      <c r="Y55" s="33">
        <v>0.31545670051001767</v>
      </c>
      <c r="Z55" s="29">
        <v>-1.4814395495177265E-2</v>
      </c>
      <c r="AA55" s="33">
        <v>0.32477912728196817</v>
      </c>
      <c r="AB55" s="33">
        <v>4.99029864955155E-2</v>
      </c>
      <c r="AC55" s="29">
        <v>-0.13273793120661215</v>
      </c>
      <c r="AD55" s="33">
        <v>0.33199194701020829</v>
      </c>
      <c r="AE55" s="33">
        <v>0.29689543854571937</v>
      </c>
      <c r="AF55" s="33">
        <v>0.25837039013606861</v>
      </c>
      <c r="AG55" s="54">
        <v>0.5839314473157774</v>
      </c>
      <c r="AH55" s="54">
        <v>0.58022278403742622</v>
      </c>
      <c r="AI55" s="33">
        <v>0.22095125804275537</v>
      </c>
      <c r="AJ55" s="33">
        <v>5.2139936233632139E-2</v>
      </c>
      <c r="AK55" s="51"/>
      <c r="AL55" s="48"/>
    </row>
    <row r="56" spans="1:38">
      <c r="A56" s="1" t="s">
        <v>78</v>
      </c>
      <c r="B56" s="33">
        <v>0.11987582759092767</v>
      </c>
      <c r="C56" s="31">
        <v>0.28769168839976611</v>
      </c>
      <c r="D56" s="33">
        <v>0.42403783826777458</v>
      </c>
      <c r="E56" s="33">
        <v>0.34663419238915189</v>
      </c>
      <c r="F56" s="33">
        <v>0.37030336590234536</v>
      </c>
      <c r="G56" s="33">
        <v>0.18724300797267004</v>
      </c>
      <c r="H56" s="33">
        <v>0.25912508623574537</v>
      </c>
      <c r="I56" s="33">
        <v>0.20699097377247441</v>
      </c>
      <c r="J56" s="33">
        <v>0.21724488815251883</v>
      </c>
      <c r="K56" s="33">
        <v>0.32204846768491358</v>
      </c>
      <c r="L56" s="33">
        <v>0.2806712100970698</v>
      </c>
      <c r="M56" s="33">
        <v>0.16941536553809186</v>
      </c>
      <c r="N56" s="33">
        <v>0.21438508842395496</v>
      </c>
      <c r="O56" s="33">
        <v>0.10203332024141601</v>
      </c>
      <c r="P56" s="33">
        <v>0.27233745142888172</v>
      </c>
      <c r="Q56" s="33">
        <v>0.1756983987708651</v>
      </c>
      <c r="R56" s="54">
        <v>0.99999999999999989</v>
      </c>
      <c r="S56" s="54">
        <v>0.53972327844760659</v>
      </c>
      <c r="T56" s="33">
        <v>0.30786164708281244</v>
      </c>
      <c r="U56" s="33">
        <v>0.37519168335836334</v>
      </c>
      <c r="V56" s="33">
        <v>0.31041039519080266</v>
      </c>
      <c r="W56" s="33">
        <v>0.273714290339024</v>
      </c>
      <c r="X56" s="33">
        <v>0.32574410879069332</v>
      </c>
      <c r="Y56" s="33">
        <v>3.1386368743073545E-2</v>
      </c>
      <c r="Z56" s="33">
        <v>0.10662598513174411</v>
      </c>
      <c r="AA56" s="33">
        <v>0.12858787574153427</v>
      </c>
      <c r="AB56" s="33">
        <v>0.40457508738583348</v>
      </c>
      <c r="AC56" s="29">
        <v>-5.2783815668507157E-2</v>
      </c>
      <c r="AD56" s="33">
        <v>0.44009835651482299</v>
      </c>
      <c r="AE56" s="33">
        <v>0.33606102107643365</v>
      </c>
      <c r="AF56" s="33">
        <v>0.15902320103170409</v>
      </c>
      <c r="AG56" s="33">
        <v>0.48988434149733184</v>
      </c>
      <c r="AH56" s="33">
        <v>0.20268318486859135</v>
      </c>
      <c r="AI56" s="29">
        <v>-0.22738071987761688</v>
      </c>
      <c r="AJ56" s="33">
        <v>0.30991824272440743</v>
      </c>
      <c r="AK56" s="51"/>
      <c r="AL56" s="48"/>
    </row>
    <row r="57" spans="1:38">
      <c r="A57" s="1" t="s">
        <v>79</v>
      </c>
      <c r="B57" s="33">
        <v>0.44857525908705226</v>
      </c>
      <c r="C57" s="53">
        <v>0.73248066218971253</v>
      </c>
      <c r="D57" s="33">
        <v>0.41458051071335494</v>
      </c>
      <c r="E57" s="33">
        <v>0.28610210132757308</v>
      </c>
      <c r="F57" s="54">
        <v>0.66484293501906744</v>
      </c>
      <c r="G57" s="54">
        <v>0.55025381826729203</v>
      </c>
      <c r="H57" s="33">
        <v>0.43943217549796365</v>
      </c>
      <c r="I57" s="29">
        <v>-0.20896883461061616</v>
      </c>
      <c r="J57" s="33">
        <v>0.35279988942458124</v>
      </c>
      <c r="K57" s="33">
        <v>0.30443294890337896</v>
      </c>
      <c r="L57" s="33">
        <v>0.39776841188591006</v>
      </c>
      <c r="M57" s="54">
        <v>0.58011363364419632</v>
      </c>
      <c r="N57" s="54">
        <v>0.57587555190659534</v>
      </c>
      <c r="O57" s="29">
        <v>-0.17364188275422127</v>
      </c>
      <c r="P57" s="54">
        <v>0.5109850596119182</v>
      </c>
      <c r="Q57" s="33">
        <v>0.39472493268416309</v>
      </c>
      <c r="R57" s="54">
        <v>0.53972327844760659</v>
      </c>
      <c r="S57" s="54">
        <v>1</v>
      </c>
      <c r="T57" s="33">
        <v>0.32167994703153951</v>
      </c>
      <c r="U57" s="33">
        <v>0.24326296839767406</v>
      </c>
      <c r="V57" s="54">
        <v>0.75069777517390457</v>
      </c>
      <c r="W57" s="33">
        <v>0.31639237762773709</v>
      </c>
      <c r="X57" s="54">
        <v>0.50564100431763326</v>
      </c>
      <c r="Y57" s="33">
        <v>0.38477899775966656</v>
      </c>
      <c r="Z57" s="33">
        <v>0.33258714292786518</v>
      </c>
      <c r="AA57" s="33">
        <v>0.39600120008509521</v>
      </c>
      <c r="AB57" s="33">
        <v>0.1930162514227097</v>
      </c>
      <c r="AC57" s="29">
        <v>-9.4691699146352018E-2</v>
      </c>
      <c r="AD57" s="54">
        <v>0.80532535151269402</v>
      </c>
      <c r="AE57" s="54">
        <v>0.50464297393508373</v>
      </c>
      <c r="AF57" s="29">
        <v>-5.7190077040692795E-2</v>
      </c>
      <c r="AG57" s="54">
        <v>0.66333739625344124</v>
      </c>
      <c r="AH57" s="33">
        <v>0.47138794272684592</v>
      </c>
      <c r="AI57" s="29">
        <v>-0.24968965697990353</v>
      </c>
      <c r="AJ57" s="33">
        <v>0.22985460892135334</v>
      </c>
      <c r="AK57" s="51"/>
      <c r="AL57" s="48"/>
    </row>
    <row r="58" spans="1:38">
      <c r="A58" s="1" t="s">
        <v>80</v>
      </c>
      <c r="B58" s="33">
        <v>0.4467205575880342</v>
      </c>
      <c r="C58" s="31">
        <v>0.4451924068451345</v>
      </c>
      <c r="D58" s="33">
        <v>0.26044809001179647</v>
      </c>
      <c r="E58" s="29">
        <v>-4.4224695668071572E-2</v>
      </c>
      <c r="F58" s="54">
        <v>0.50322510139621357</v>
      </c>
      <c r="G58" s="33">
        <v>0.2143056880325295</v>
      </c>
      <c r="H58" s="54">
        <v>0.57388729256013649</v>
      </c>
      <c r="I58" s="33">
        <v>0.34760587963325451</v>
      </c>
      <c r="J58" s="33">
        <v>0.414208870377545</v>
      </c>
      <c r="K58" s="33">
        <v>0.37840790595683377</v>
      </c>
      <c r="L58" s="33">
        <v>1.4635950048252726E-2</v>
      </c>
      <c r="M58" s="54">
        <v>0.62529890118623921</v>
      </c>
      <c r="N58" s="33">
        <v>0.38476971425287165</v>
      </c>
      <c r="O58" s="29">
        <v>-0.30770245519366152</v>
      </c>
      <c r="P58" s="33">
        <v>0.48495017351768122</v>
      </c>
      <c r="Q58" s="33">
        <v>0.32245090244564373</v>
      </c>
      <c r="R58" s="33">
        <v>0.30786164708281244</v>
      </c>
      <c r="S58" s="33">
        <v>0.32167994703153951</v>
      </c>
      <c r="T58" s="54">
        <v>1</v>
      </c>
      <c r="U58" s="33">
        <v>0.39485706201521942</v>
      </c>
      <c r="V58" s="33">
        <v>0.48656100119893253</v>
      </c>
      <c r="W58" s="33">
        <v>0.20938835519998708</v>
      </c>
      <c r="X58" s="33">
        <v>0.32929997909658476</v>
      </c>
      <c r="Y58" s="33">
        <v>5.1575613440995809E-2</v>
      </c>
      <c r="Z58" s="33">
        <v>7.2387101936509796E-2</v>
      </c>
      <c r="AA58" s="33">
        <v>0.4807778445655379</v>
      </c>
      <c r="AB58" s="29">
        <v>-0.32118054481599001</v>
      </c>
      <c r="AC58" s="29">
        <v>-8.1228022627434462E-2</v>
      </c>
      <c r="AD58" s="33">
        <v>0.42993049716960036</v>
      </c>
      <c r="AE58" s="33">
        <v>0.35152879807969339</v>
      </c>
      <c r="AF58" s="33">
        <v>0.32146532706528463</v>
      </c>
      <c r="AG58" s="33">
        <v>0.32930026893050446</v>
      </c>
      <c r="AH58" s="33">
        <v>0.48700084942289174</v>
      </c>
      <c r="AI58" s="33">
        <v>6.4316165351569587E-2</v>
      </c>
      <c r="AJ58" s="33">
        <v>3.6088439744604621E-2</v>
      </c>
      <c r="AK58" s="51"/>
      <c r="AL58" s="48"/>
    </row>
    <row r="59" spans="1:38">
      <c r="A59" s="1" t="s">
        <v>81</v>
      </c>
      <c r="B59" s="54">
        <v>0.58940237917503835</v>
      </c>
      <c r="C59" s="53">
        <v>0.61031067158490615</v>
      </c>
      <c r="D59" s="33">
        <v>0.36028615113499757</v>
      </c>
      <c r="E59" s="33">
        <v>0.24317871611678393</v>
      </c>
      <c r="F59" s="33">
        <v>0.31889131249463709</v>
      </c>
      <c r="G59" s="29">
        <v>-0.13542961626433428</v>
      </c>
      <c r="H59" s="33">
        <v>0.49660902013422326</v>
      </c>
      <c r="I59" s="33">
        <v>0.20394541121796167</v>
      </c>
      <c r="J59" s="54">
        <v>0.5827899639535099</v>
      </c>
      <c r="K59" s="33">
        <v>0.41268113601551798</v>
      </c>
      <c r="L59" s="33">
        <v>0.27693488318256781</v>
      </c>
      <c r="M59" s="54">
        <v>0.60183150106976335</v>
      </c>
      <c r="N59" s="33">
        <v>0.4618931037970273</v>
      </c>
      <c r="O59" s="29">
        <v>-2.1269726624478399E-2</v>
      </c>
      <c r="P59" s="33">
        <v>8.7277450607105178E-2</v>
      </c>
      <c r="Q59" s="33">
        <v>0.40161097956100894</v>
      </c>
      <c r="R59" s="33">
        <v>0.37519168335836334</v>
      </c>
      <c r="S59" s="33">
        <v>0.24326296839767406</v>
      </c>
      <c r="T59" s="33">
        <v>0.39485706201521942</v>
      </c>
      <c r="U59" s="54">
        <v>0.99999999999999956</v>
      </c>
      <c r="V59" s="33">
        <v>0.28719841968532545</v>
      </c>
      <c r="W59" s="33">
        <v>0.20152489409500321</v>
      </c>
      <c r="X59" s="33">
        <v>0.20173349975906468</v>
      </c>
      <c r="Y59" s="29">
        <v>-7.6154137450517009E-2</v>
      </c>
      <c r="Z59" s="33">
        <v>5.8136394413510151E-2</v>
      </c>
      <c r="AA59" s="33">
        <v>0.17697723731479909</v>
      </c>
      <c r="AB59" s="33">
        <v>2.0226349154646422E-2</v>
      </c>
      <c r="AC59" s="29">
        <v>-0.26397634460345559</v>
      </c>
      <c r="AD59" s="33">
        <v>0.20088274964247843</v>
      </c>
      <c r="AE59" s="33">
        <v>0.36837530825044645</v>
      </c>
      <c r="AF59" s="33">
        <v>0.45742796235367833</v>
      </c>
      <c r="AG59" s="33">
        <v>0.42251819886455083</v>
      </c>
      <c r="AH59" s="54">
        <v>0.6994385230783573</v>
      </c>
      <c r="AI59" s="33">
        <v>0.12151594032819217</v>
      </c>
      <c r="AJ59" s="33">
        <v>9.8339983576638465E-2</v>
      </c>
      <c r="AK59" s="51"/>
      <c r="AL59" s="48"/>
    </row>
    <row r="60" spans="1:38">
      <c r="A60" s="1" t="s">
        <v>82</v>
      </c>
      <c r="B60" s="54">
        <v>0.74653337056302727</v>
      </c>
      <c r="C60" s="53">
        <v>0.78067047575363246</v>
      </c>
      <c r="D60" s="54">
        <v>0.51233650147769605</v>
      </c>
      <c r="E60" s="33">
        <v>0.12742562664426571</v>
      </c>
      <c r="F60" s="54">
        <v>0.90279432646033431</v>
      </c>
      <c r="G60" s="54">
        <v>0.68076516177096202</v>
      </c>
      <c r="H60" s="33">
        <v>0.37920081643543002</v>
      </c>
      <c r="I60" s="29">
        <v>-0.21142332000732988</v>
      </c>
      <c r="J60" s="33">
        <v>0.31251476217556212</v>
      </c>
      <c r="K60" s="33">
        <v>0.44404086391877651</v>
      </c>
      <c r="L60" s="33">
        <v>0.27645176657018622</v>
      </c>
      <c r="M60" s="54">
        <v>0.65793348129553009</v>
      </c>
      <c r="N60" s="54">
        <v>0.76682211445417692</v>
      </c>
      <c r="O60" s="29">
        <v>-0.1637503624617625</v>
      </c>
      <c r="P60" s="54">
        <v>0.6652739243950041</v>
      </c>
      <c r="Q60" s="33">
        <v>0.35323789306926218</v>
      </c>
      <c r="R60" s="33">
        <v>0.31041039519080266</v>
      </c>
      <c r="S60" s="54">
        <v>0.75069777517390457</v>
      </c>
      <c r="T60" s="33">
        <v>0.48656100119893253</v>
      </c>
      <c r="U60" s="33">
        <v>0.28719841968532545</v>
      </c>
      <c r="V60" s="54">
        <v>1.0000000000000002</v>
      </c>
      <c r="W60" s="33">
        <v>0.35142299352327588</v>
      </c>
      <c r="X60" s="33">
        <v>0.49915366399665684</v>
      </c>
      <c r="Y60" s="33">
        <v>0.39223652541706555</v>
      </c>
      <c r="Z60" s="33">
        <v>0.36280150359530972</v>
      </c>
      <c r="AA60" s="33">
        <v>0.48563637790815095</v>
      </c>
      <c r="AB60" s="33">
        <v>4.2226933924607891E-2</v>
      </c>
      <c r="AC60" s="29">
        <v>-0.10592232031246035</v>
      </c>
      <c r="AD60" s="54">
        <v>0.8972881738071482</v>
      </c>
      <c r="AE60" s="54">
        <v>0.64709850872288288</v>
      </c>
      <c r="AF60" s="33">
        <v>0.21129532094960096</v>
      </c>
      <c r="AG60" s="54">
        <v>0.66797267745605604</v>
      </c>
      <c r="AH60" s="33">
        <v>0.49788872892436375</v>
      </c>
      <c r="AI60" s="29">
        <v>-0.18197707021514017</v>
      </c>
      <c r="AJ60" s="33">
        <v>0.13892407939263424</v>
      </c>
      <c r="AK60" s="51"/>
      <c r="AL60" s="48"/>
    </row>
    <row r="61" spans="1:38">
      <c r="A61" s="1" t="s">
        <v>83</v>
      </c>
      <c r="B61" s="33">
        <v>0.36685326977246147</v>
      </c>
      <c r="C61" s="31">
        <v>0.31459141589069867</v>
      </c>
      <c r="D61" s="33">
        <v>0.39104877849497049</v>
      </c>
      <c r="E61" s="33">
        <v>0.22192555229250704</v>
      </c>
      <c r="F61" s="33">
        <v>0.37593618016806724</v>
      </c>
      <c r="G61" s="33">
        <v>0.30220703891682937</v>
      </c>
      <c r="H61" s="33">
        <v>0.45133664370192533</v>
      </c>
      <c r="I61" s="33">
        <v>0.11811798704979985</v>
      </c>
      <c r="J61" s="54">
        <v>0.54255969496868395</v>
      </c>
      <c r="K61" s="33">
        <v>0.2775520214106304</v>
      </c>
      <c r="L61" s="33">
        <v>0.36052277335779864</v>
      </c>
      <c r="M61" s="33">
        <v>0.28855221202893028</v>
      </c>
      <c r="N61" s="33">
        <v>0.38568166715133556</v>
      </c>
      <c r="O61" s="33">
        <v>0.16405858066953288</v>
      </c>
      <c r="P61" s="33">
        <v>9.4770257044262937E-2</v>
      </c>
      <c r="Q61" s="33">
        <v>0.46923523490103219</v>
      </c>
      <c r="R61" s="33">
        <v>0.273714290339024</v>
      </c>
      <c r="S61" s="33">
        <v>0.31639237762773709</v>
      </c>
      <c r="T61" s="33">
        <v>0.20938835519998708</v>
      </c>
      <c r="U61" s="33">
        <v>0.20152489409500321</v>
      </c>
      <c r="V61" s="33">
        <v>0.35142299352327588</v>
      </c>
      <c r="W61" s="54">
        <v>0.99999999999999933</v>
      </c>
      <c r="X61" s="33">
        <v>0.14433432259116993</v>
      </c>
      <c r="Y61" s="33">
        <v>0.29036595884909139</v>
      </c>
      <c r="Z61" s="33">
        <v>0.3045228595978775</v>
      </c>
      <c r="AA61" s="33">
        <v>0.12679154172560139</v>
      </c>
      <c r="AB61" s="33">
        <v>0.1587888329404713</v>
      </c>
      <c r="AC61" s="33">
        <v>0.13554304127250347</v>
      </c>
      <c r="AD61" s="33">
        <v>0.44165652828244922</v>
      </c>
      <c r="AE61" s="54">
        <v>0.51761681868273235</v>
      </c>
      <c r="AF61" s="33">
        <v>8.699884034707428E-2</v>
      </c>
      <c r="AG61" s="54">
        <v>0.67285260214031128</v>
      </c>
      <c r="AH61" s="33">
        <v>0.2019588502171844</v>
      </c>
      <c r="AI61" s="29">
        <v>-6.6838846491217074E-2</v>
      </c>
      <c r="AJ61" s="29">
        <v>-0.18218114284120876</v>
      </c>
      <c r="AK61" s="51"/>
      <c r="AL61" s="48"/>
    </row>
    <row r="62" spans="1:38">
      <c r="A62" s="1" t="s">
        <v>84</v>
      </c>
      <c r="B62" s="54">
        <v>0.52562599199977555</v>
      </c>
      <c r="C62" s="53">
        <v>0.61710251656946313</v>
      </c>
      <c r="D62" s="33">
        <v>0.35652486438483566</v>
      </c>
      <c r="E62" s="54">
        <v>0.60499579970313755</v>
      </c>
      <c r="F62" s="33">
        <v>0.44530078249724575</v>
      </c>
      <c r="G62" s="54">
        <v>0.59809076310876597</v>
      </c>
      <c r="H62" s="33">
        <v>0.29077101847420128</v>
      </c>
      <c r="I62" s="29">
        <v>-0.18041596574846061</v>
      </c>
      <c r="J62" s="33">
        <v>0.26022290603439452</v>
      </c>
      <c r="K62" s="54">
        <v>0.66411596387535943</v>
      </c>
      <c r="L62" s="33">
        <v>0.2410079566571911</v>
      </c>
      <c r="M62" s="33">
        <v>0.31803151550172626</v>
      </c>
      <c r="N62" s="54">
        <v>0.51337875374343667</v>
      </c>
      <c r="O62" s="29">
        <v>-0.38668260853644831</v>
      </c>
      <c r="P62" s="54">
        <v>0.74325044554919228</v>
      </c>
      <c r="Q62" s="33">
        <v>0.16726485374136157</v>
      </c>
      <c r="R62" s="33">
        <v>0.32574410879069332</v>
      </c>
      <c r="S62" s="54">
        <v>0.50564100431763326</v>
      </c>
      <c r="T62" s="33">
        <v>0.32929997909658476</v>
      </c>
      <c r="U62" s="33">
        <v>0.20173349975906468</v>
      </c>
      <c r="V62" s="33">
        <v>0.49915366399665684</v>
      </c>
      <c r="W62" s="33">
        <v>0.14433432259116993</v>
      </c>
      <c r="X62" s="54">
        <v>0.99999999999999978</v>
      </c>
      <c r="Y62" s="54">
        <v>0.51550334719597113</v>
      </c>
      <c r="Z62" s="33">
        <v>0.40141248018769249</v>
      </c>
      <c r="AA62" s="33">
        <v>0.32334310079544099</v>
      </c>
      <c r="AB62" s="33">
        <v>0.1296779504254543</v>
      </c>
      <c r="AC62" s="33">
        <v>0.31046950227782349</v>
      </c>
      <c r="AD62" s="54">
        <v>0.62171992332881187</v>
      </c>
      <c r="AE62" s="54">
        <v>0.6878829008238303</v>
      </c>
      <c r="AF62" s="33">
        <v>0.39771331691209022</v>
      </c>
      <c r="AG62" s="33">
        <v>0.36474235030765723</v>
      </c>
      <c r="AH62" s="33">
        <v>0.23592079296791504</v>
      </c>
      <c r="AI62" s="29">
        <v>-9.9455889912538611E-4</v>
      </c>
      <c r="AJ62" s="29">
        <v>-0.16889165926209274</v>
      </c>
      <c r="AK62" s="51"/>
      <c r="AL62" s="48"/>
    </row>
    <row r="63" spans="1:38">
      <c r="A63" s="1" t="s">
        <v>85</v>
      </c>
      <c r="B63" s="33">
        <v>0.24053402111098121</v>
      </c>
      <c r="C63" s="31">
        <v>0.38012868553097656</v>
      </c>
      <c r="D63" s="33">
        <v>0.27442282662901202</v>
      </c>
      <c r="E63" s="33">
        <v>0.37684749891242669</v>
      </c>
      <c r="F63" s="33">
        <v>0.32347461637159691</v>
      </c>
      <c r="G63" s="33">
        <v>0.46400795952016893</v>
      </c>
      <c r="H63" s="33">
        <v>7.0921010287987252E-2</v>
      </c>
      <c r="I63" s="33">
        <v>5.9724639281500012E-3</v>
      </c>
      <c r="J63" s="33">
        <v>0.34493510232541036</v>
      </c>
      <c r="K63" s="54">
        <v>0.53334225424722215</v>
      </c>
      <c r="L63" s="33">
        <v>0.20243833851507001</v>
      </c>
      <c r="M63" s="33">
        <v>0.23450216941297344</v>
      </c>
      <c r="N63" s="54">
        <v>0.5100524584210272</v>
      </c>
      <c r="O63" s="29">
        <v>-0.28300151171848614</v>
      </c>
      <c r="P63" s="33">
        <v>0.4976904411878853</v>
      </c>
      <c r="Q63" s="33">
        <v>0.31545670051001767</v>
      </c>
      <c r="R63" s="33">
        <v>3.1386368743073545E-2</v>
      </c>
      <c r="S63" s="33">
        <v>0.38477899775966656</v>
      </c>
      <c r="T63" s="33">
        <v>5.1575613440995809E-2</v>
      </c>
      <c r="U63" s="29">
        <v>-7.6154137450517009E-2</v>
      </c>
      <c r="V63" s="33">
        <v>0.39223652541706555</v>
      </c>
      <c r="W63" s="33">
        <v>0.29036595884909139</v>
      </c>
      <c r="X63" s="54">
        <v>0.51550334719597113</v>
      </c>
      <c r="Y63" s="54">
        <v>1</v>
      </c>
      <c r="Z63" s="33">
        <v>8.9445352849724089E-2</v>
      </c>
      <c r="AA63" s="33">
        <v>0.21937741630131427</v>
      </c>
      <c r="AB63" s="29">
        <v>-1.1462418687828008E-2</v>
      </c>
      <c r="AC63" s="33">
        <v>0.14204248879154904</v>
      </c>
      <c r="AD63" s="33">
        <v>0.34211935835362872</v>
      </c>
      <c r="AE63" s="33">
        <v>0.41427341171711068</v>
      </c>
      <c r="AF63" s="33">
        <v>0.32473461520179281</v>
      </c>
      <c r="AG63" s="33">
        <v>0.38137852043526721</v>
      </c>
      <c r="AH63" s="29">
        <v>-0.10328568638833754</v>
      </c>
      <c r="AI63" s="33">
        <v>0.13141579427827976</v>
      </c>
      <c r="AJ63" s="29">
        <v>-0.24621924961484321</v>
      </c>
      <c r="AK63" s="51"/>
      <c r="AL63" s="48"/>
    </row>
    <row r="64" spans="1:38">
      <c r="A64" s="1" t="s">
        <v>86</v>
      </c>
      <c r="B64" s="33">
        <v>0.29043450491521178</v>
      </c>
      <c r="C64" s="31">
        <v>0.49663896167577981</v>
      </c>
      <c r="D64" s="33">
        <v>0.14119964066056426</v>
      </c>
      <c r="E64" s="33">
        <v>0.16212626926792031</v>
      </c>
      <c r="F64" s="33">
        <v>0.37955807096346528</v>
      </c>
      <c r="G64" s="33">
        <v>0.38013188827780964</v>
      </c>
      <c r="H64" s="33">
        <v>7.1289500156389227E-2</v>
      </c>
      <c r="I64" s="29">
        <v>-0.38941355633104618</v>
      </c>
      <c r="J64" s="33">
        <v>0.1736340559693724</v>
      </c>
      <c r="K64" s="33">
        <v>0.25513566866924048</v>
      </c>
      <c r="L64" s="33">
        <v>0.15432670162361367</v>
      </c>
      <c r="M64" s="33">
        <v>9.7193859582942438E-2</v>
      </c>
      <c r="N64" s="33">
        <v>0.34112453106362139</v>
      </c>
      <c r="O64" s="29">
        <v>-0.15392767622196094</v>
      </c>
      <c r="P64" s="33">
        <v>0.21994801550277654</v>
      </c>
      <c r="Q64" s="29">
        <v>-1.4814395495177265E-2</v>
      </c>
      <c r="R64" s="33">
        <v>0.10662598513174411</v>
      </c>
      <c r="S64" s="33">
        <v>0.33258714292786518</v>
      </c>
      <c r="T64" s="33">
        <v>7.2387101936509796E-2</v>
      </c>
      <c r="U64" s="33">
        <v>5.8136394413510151E-2</v>
      </c>
      <c r="V64" s="33">
        <v>0.36280150359530972</v>
      </c>
      <c r="W64" s="33">
        <v>0.3045228595978775</v>
      </c>
      <c r="X64" s="33">
        <v>0.40141248018769249</v>
      </c>
      <c r="Y64" s="33">
        <v>8.9445352849724089E-2</v>
      </c>
      <c r="Z64" s="54">
        <v>1.0000000000000002</v>
      </c>
      <c r="AA64" s="33">
        <v>0.25184391498938197</v>
      </c>
      <c r="AB64" s="33">
        <v>0.10816762395831991</v>
      </c>
      <c r="AC64" s="33">
        <v>0.21415925424651713</v>
      </c>
      <c r="AD64" s="54">
        <v>0.51790102763217316</v>
      </c>
      <c r="AE64" s="33">
        <v>0.46896335739133121</v>
      </c>
      <c r="AF64" s="33">
        <v>3.8778653341275164E-2</v>
      </c>
      <c r="AG64" s="33">
        <v>0.29791580182420319</v>
      </c>
      <c r="AH64" s="33">
        <v>0.208469758942602</v>
      </c>
      <c r="AI64" s="33">
        <v>2.8239689201287676E-2</v>
      </c>
      <c r="AJ64" s="33">
        <v>4.0003259941259688E-2</v>
      </c>
      <c r="AK64" s="51"/>
      <c r="AL64" s="48"/>
    </row>
    <row r="65" spans="1:48">
      <c r="A65" s="1" t="s">
        <v>87</v>
      </c>
      <c r="B65" s="33">
        <v>0.21011618316136366</v>
      </c>
      <c r="C65" s="31">
        <v>0.43830814530605705</v>
      </c>
      <c r="D65" s="33">
        <v>0.41832784240903004</v>
      </c>
      <c r="E65" s="33">
        <v>7.686508889699642E-2</v>
      </c>
      <c r="F65" s="33">
        <v>0.41948062886991899</v>
      </c>
      <c r="G65" s="33">
        <v>0.30307080082863153</v>
      </c>
      <c r="H65" s="33">
        <v>0.27976879126641502</v>
      </c>
      <c r="I65" s="29">
        <v>-4.5491117786287831E-2</v>
      </c>
      <c r="J65" s="33">
        <v>0.38027044435930968</v>
      </c>
      <c r="K65" s="33">
        <v>0.40380559730786952</v>
      </c>
      <c r="L65" s="33">
        <v>7.9296051967844103E-2</v>
      </c>
      <c r="M65" s="54">
        <v>0.62963746115426977</v>
      </c>
      <c r="N65" s="33">
        <v>0.49233462207289497</v>
      </c>
      <c r="O65" s="29">
        <v>-1.1957790325710408E-2</v>
      </c>
      <c r="P65" s="54">
        <v>0.55423568334371853</v>
      </c>
      <c r="Q65" s="33">
        <v>0.32477912728196817</v>
      </c>
      <c r="R65" s="33">
        <v>0.12858787574153427</v>
      </c>
      <c r="S65" s="33">
        <v>0.39600120008509521</v>
      </c>
      <c r="T65" s="33">
        <v>0.4807778445655379</v>
      </c>
      <c r="U65" s="33">
        <v>0.17697723731479909</v>
      </c>
      <c r="V65" s="33">
        <v>0.48563637790815095</v>
      </c>
      <c r="W65" s="33">
        <v>0.12679154172560139</v>
      </c>
      <c r="X65" s="33">
        <v>0.32334310079544099</v>
      </c>
      <c r="Y65" s="33">
        <v>0.21937741630131427</v>
      </c>
      <c r="Z65" s="33">
        <v>0.25184391498938197</v>
      </c>
      <c r="AA65" s="54">
        <v>1.0000000000000004</v>
      </c>
      <c r="AB65" s="33">
        <v>5.2020981952156216E-2</v>
      </c>
      <c r="AC65" s="33">
        <v>0.100637834596092</v>
      </c>
      <c r="AD65" s="33">
        <v>0.41430995691241723</v>
      </c>
      <c r="AE65" s="33">
        <v>0.2563256381531609</v>
      </c>
      <c r="AF65" s="33">
        <v>0.11759439445592636</v>
      </c>
      <c r="AG65" s="33">
        <v>0.17340114456410086</v>
      </c>
      <c r="AH65" s="33">
        <v>0.40961368613745514</v>
      </c>
      <c r="AI65" s="33">
        <v>0.27814565495728244</v>
      </c>
      <c r="AJ65" s="33">
        <v>0.21230201503084792</v>
      </c>
      <c r="AK65" s="51"/>
      <c r="AL65" s="48"/>
    </row>
    <row r="66" spans="1:48">
      <c r="A66" s="1" t="s">
        <v>88</v>
      </c>
      <c r="B66" s="29">
        <v>-0.11915194506407793</v>
      </c>
      <c r="C66" s="31">
        <v>8.6869633544614286E-2</v>
      </c>
      <c r="D66" s="33">
        <v>0.20177537638162679</v>
      </c>
      <c r="E66" s="33">
        <v>0.35273578792227578</v>
      </c>
      <c r="F66" s="33">
        <v>4.9022459058569667E-2</v>
      </c>
      <c r="G66" s="33">
        <v>1.4928644804962247E-2</v>
      </c>
      <c r="H66" s="29">
        <v>-6.3739747590017631E-2</v>
      </c>
      <c r="I66" s="29">
        <v>-0.14684182963938708</v>
      </c>
      <c r="J66" s="29">
        <v>-6.6641541681374511E-2</v>
      </c>
      <c r="K66" s="29">
        <v>-3.3560279412035994E-2</v>
      </c>
      <c r="L66" s="33">
        <v>0.39544335323395879</v>
      </c>
      <c r="M66" s="29">
        <v>-1.8622540146446372E-2</v>
      </c>
      <c r="N66" s="33">
        <v>2.8997312499908553E-2</v>
      </c>
      <c r="O66" s="33">
        <v>0.41044437404474565</v>
      </c>
      <c r="P66" s="29">
        <v>-7.9874288219023148E-2</v>
      </c>
      <c r="Q66" s="33">
        <v>4.99029864955155E-2</v>
      </c>
      <c r="R66" s="33">
        <v>0.40457508738583348</v>
      </c>
      <c r="S66" s="33">
        <v>0.1930162514227097</v>
      </c>
      <c r="T66" s="29">
        <v>-0.32118054481599001</v>
      </c>
      <c r="U66" s="33">
        <v>2.0226349154646422E-2</v>
      </c>
      <c r="V66" s="33">
        <v>4.2226933924607891E-2</v>
      </c>
      <c r="W66" s="33">
        <v>0.1587888329404713</v>
      </c>
      <c r="X66" s="33">
        <v>0.1296779504254543</v>
      </c>
      <c r="Y66" s="29">
        <v>-1.1462418687828008E-2</v>
      </c>
      <c r="Z66" s="33">
        <v>0.10816762395831991</v>
      </c>
      <c r="AA66" s="33">
        <v>5.2020981952156216E-2</v>
      </c>
      <c r="AB66" s="54">
        <v>1</v>
      </c>
      <c r="AC66" s="33">
        <v>8.6104389750753435E-2</v>
      </c>
      <c r="AD66" s="33">
        <v>0.15882086762412925</v>
      </c>
      <c r="AE66" s="33">
        <v>2.1225340181726247E-2</v>
      </c>
      <c r="AF66" s="29">
        <v>-7.8671525643598944E-2</v>
      </c>
      <c r="AG66" s="33">
        <v>0.1164672489759926</v>
      </c>
      <c r="AH66" s="29">
        <v>-7.5302325155258254E-2</v>
      </c>
      <c r="AI66" s="29">
        <v>-0.17598271581188729</v>
      </c>
      <c r="AJ66" s="33">
        <v>0.26796335502090818</v>
      </c>
      <c r="AK66" s="51"/>
      <c r="AL66" s="48"/>
    </row>
    <row r="67" spans="1:48">
      <c r="A67" s="1" t="s">
        <v>89</v>
      </c>
      <c r="B67" s="33">
        <v>2.959572477906719E-2</v>
      </c>
      <c r="C67" s="30">
        <v>-0.18187792592777555</v>
      </c>
      <c r="D67" s="29">
        <v>-0.14668488334383756</v>
      </c>
      <c r="E67" s="33">
        <v>4.5566565454140874E-2</v>
      </c>
      <c r="F67" s="29">
        <v>-0.19595355220695726</v>
      </c>
      <c r="G67" s="33">
        <v>0.18243936575135039</v>
      </c>
      <c r="H67" s="33">
        <v>0.15851759110189995</v>
      </c>
      <c r="I67" s="33">
        <v>0.14892222429127286</v>
      </c>
      <c r="J67" s="29">
        <v>-0.14283190267406604</v>
      </c>
      <c r="K67" s="33">
        <v>0.12743511619996856</v>
      </c>
      <c r="L67" s="29">
        <v>-2.1000605848000157E-3</v>
      </c>
      <c r="M67" s="29">
        <v>-0.15488803951787067</v>
      </c>
      <c r="N67" s="29">
        <v>-0.20975129932061939</v>
      </c>
      <c r="O67" s="33">
        <v>2.731291459222402E-2</v>
      </c>
      <c r="P67" s="33">
        <v>0.10882074888932129</v>
      </c>
      <c r="Q67" s="29">
        <v>-0.13273793120661215</v>
      </c>
      <c r="R67" s="29">
        <v>-5.2783815668507157E-2</v>
      </c>
      <c r="S67" s="29">
        <v>-9.4691699146352018E-2</v>
      </c>
      <c r="T67" s="29">
        <v>-8.1228022627434462E-2</v>
      </c>
      <c r="U67" s="29">
        <v>-0.26397634460345559</v>
      </c>
      <c r="V67" s="29">
        <v>-0.10592232031246035</v>
      </c>
      <c r="W67" s="33">
        <v>0.13554304127250347</v>
      </c>
      <c r="X67" s="33">
        <v>0.31046950227782349</v>
      </c>
      <c r="Y67" s="33">
        <v>0.14204248879154904</v>
      </c>
      <c r="Z67" s="33">
        <v>0.21415925424651713</v>
      </c>
      <c r="AA67" s="33">
        <v>0.100637834596092</v>
      </c>
      <c r="AB67" s="33">
        <v>8.6104389750753435E-2</v>
      </c>
      <c r="AC67" s="54">
        <v>1.0000000000000002</v>
      </c>
      <c r="AD67" s="33">
        <v>7.944989772221335E-2</v>
      </c>
      <c r="AE67" s="29">
        <v>-3.5138922716159253E-2</v>
      </c>
      <c r="AF67" s="33">
        <v>1.1540211440783399E-2</v>
      </c>
      <c r="AG67" s="29">
        <v>-0.26181575676990615</v>
      </c>
      <c r="AH67" s="29">
        <v>-0.27722673671500669</v>
      </c>
      <c r="AI67" s="29">
        <v>-0.2960849835843738</v>
      </c>
      <c r="AJ67" s="29">
        <v>-0.20035430127349285</v>
      </c>
      <c r="AK67" s="51"/>
      <c r="AL67" s="48"/>
    </row>
    <row r="68" spans="1:48">
      <c r="A68" s="1" t="s">
        <v>90</v>
      </c>
      <c r="B68" s="54">
        <v>0.67293006386421639</v>
      </c>
      <c r="C68" s="53">
        <v>0.74976735910729364</v>
      </c>
      <c r="D68" s="54">
        <v>0.59646030278810769</v>
      </c>
      <c r="E68" s="33">
        <v>0.22079338160176379</v>
      </c>
      <c r="F68" s="54">
        <v>0.86556041532203953</v>
      </c>
      <c r="G68" s="54">
        <v>0.71723287049231432</v>
      </c>
      <c r="H68" s="33">
        <v>0.35750675546134458</v>
      </c>
      <c r="I68" s="29">
        <v>-0.31050337332338651</v>
      </c>
      <c r="J68" s="33">
        <v>0.34902968632047288</v>
      </c>
      <c r="K68" s="33">
        <v>0.41882060847614128</v>
      </c>
      <c r="L68" s="33">
        <v>0.31657080504747753</v>
      </c>
      <c r="M68" s="54">
        <v>0.50361262923194217</v>
      </c>
      <c r="N68" s="54">
        <v>0.64080600329954307</v>
      </c>
      <c r="O68" s="29">
        <v>-0.12303400451007405</v>
      </c>
      <c r="P68" s="54">
        <v>0.63392989945943012</v>
      </c>
      <c r="Q68" s="33">
        <v>0.33199194701020829</v>
      </c>
      <c r="R68" s="33">
        <v>0.44009835651482299</v>
      </c>
      <c r="S68" s="54">
        <v>0.80532535151269402</v>
      </c>
      <c r="T68" s="33">
        <v>0.42993049716960036</v>
      </c>
      <c r="U68" s="33">
        <v>0.20088274964247843</v>
      </c>
      <c r="V68" s="54">
        <v>0.8972881738071482</v>
      </c>
      <c r="W68" s="33">
        <v>0.44165652828244922</v>
      </c>
      <c r="X68" s="54">
        <v>0.62171992332881187</v>
      </c>
      <c r="Y68" s="33">
        <v>0.34211935835362872</v>
      </c>
      <c r="Z68" s="54">
        <v>0.51790102763217316</v>
      </c>
      <c r="AA68" s="33">
        <v>0.41430995691241723</v>
      </c>
      <c r="AB68" s="33">
        <v>0.15882086762412925</v>
      </c>
      <c r="AC68" s="33">
        <v>7.944989772221335E-2</v>
      </c>
      <c r="AD68" s="54">
        <v>0.99999999999999989</v>
      </c>
      <c r="AE68" s="54">
        <v>0.69998380921426684</v>
      </c>
      <c r="AF68" s="33">
        <v>0.13908661941866537</v>
      </c>
      <c r="AG68" s="54">
        <v>0.65277024815007823</v>
      </c>
      <c r="AH68" s="33">
        <v>0.44405096975174241</v>
      </c>
      <c r="AI68" s="29">
        <v>-0.27917425425773557</v>
      </c>
      <c r="AJ68" s="33">
        <v>0.1481065127394392</v>
      </c>
      <c r="AK68" s="51"/>
      <c r="AL68" s="48"/>
    </row>
    <row r="69" spans="1:48">
      <c r="A69" s="1" t="s">
        <v>91</v>
      </c>
      <c r="B69" s="54">
        <v>0.67923796875726028</v>
      </c>
      <c r="C69" s="53">
        <v>0.6712358055837746</v>
      </c>
      <c r="D69" s="54">
        <v>0.64461332964708173</v>
      </c>
      <c r="E69" s="54">
        <v>0.54432533417659057</v>
      </c>
      <c r="F69" s="54">
        <v>0.67854892011628876</v>
      </c>
      <c r="G69" s="54">
        <v>0.5271868116981826</v>
      </c>
      <c r="H69" s="33">
        <v>0.41934128690136041</v>
      </c>
      <c r="I69" s="29">
        <v>-0.17189732757839987</v>
      </c>
      <c r="J69" s="33">
        <v>0.49445308639189267</v>
      </c>
      <c r="K69" s="54">
        <v>0.6890936640358839</v>
      </c>
      <c r="L69" s="33">
        <v>0.26025973217976678</v>
      </c>
      <c r="M69" s="33">
        <v>0.45927817026089274</v>
      </c>
      <c r="N69" s="54">
        <v>0.76259755796181916</v>
      </c>
      <c r="O69" s="29">
        <v>-0.28617508943138803</v>
      </c>
      <c r="P69" s="54">
        <v>0.67241344038823025</v>
      </c>
      <c r="Q69" s="33">
        <v>0.29689543854571937</v>
      </c>
      <c r="R69" s="33">
        <v>0.33606102107643365</v>
      </c>
      <c r="S69" s="54">
        <v>0.50464297393508373</v>
      </c>
      <c r="T69" s="33">
        <v>0.35152879807969339</v>
      </c>
      <c r="U69" s="33">
        <v>0.36837530825044645</v>
      </c>
      <c r="V69" s="54">
        <v>0.64709850872288288</v>
      </c>
      <c r="W69" s="54">
        <v>0.51761681868273235</v>
      </c>
      <c r="X69" s="54">
        <v>0.6878829008238303</v>
      </c>
      <c r="Y69" s="33">
        <v>0.41427341171711068</v>
      </c>
      <c r="Z69" s="33">
        <v>0.46896335739133121</v>
      </c>
      <c r="AA69" s="33">
        <v>0.2563256381531609</v>
      </c>
      <c r="AB69" s="33">
        <v>2.1225340181726247E-2</v>
      </c>
      <c r="AC69" s="29">
        <v>-3.5138922716159253E-2</v>
      </c>
      <c r="AD69" s="54">
        <v>0.69998380921426684</v>
      </c>
      <c r="AE69" s="54">
        <v>1.0000000000000002</v>
      </c>
      <c r="AF69" s="54">
        <v>0.50244709522145381</v>
      </c>
      <c r="AG69" s="54">
        <v>0.70299929975682995</v>
      </c>
      <c r="AH69" s="33">
        <v>0.3743650049720888</v>
      </c>
      <c r="AI69" s="33">
        <v>6.2308825191772964E-2</v>
      </c>
      <c r="AJ69" s="29">
        <v>-0.18566987973839086</v>
      </c>
      <c r="AK69" s="51"/>
      <c r="AL69" s="48"/>
    </row>
    <row r="70" spans="1:48">
      <c r="A70" s="1" t="s">
        <v>92</v>
      </c>
      <c r="B70" s="33">
        <v>0.43500822677779227</v>
      </c>
      <c r="C70" s="31">
        <v>0.30069187130394243</v>
      </c>
      <c r="D70" s="33">
        <v>0.32264865292747597</v>
      </c>
      <c r="E70" s="33">
        <v>0.39610278871240545</v>
      </c>
      <c r="F70" s="33">
        <v>0.24469460738340074</v>
      </c>
      <c r="G70" s="29">
        <v>-1.3519805626341488E-2</v>
      </c>
      <c r="H70" s="33">
        <v>0.16835065556993553</v>
      </c>
      <c r="I70" s="33">
        <v>0.14034612045722339</v>
      </c>
      <c r="J70" s="33">
        <v>0.37813696788338308</v>
      </c>
      <c r="K70" s="33">
        <v>0.49961467755996991</v>
      </c>
      <c r="L70" s="33">
        <v>1.0907737854711224E-2</v>
      </c>
      <c r="M70" s="33">
        <v>0.21142381790492099</v>
      </c>
      <c r="N70" s="33">
        <v>0.44552474832861871</v>
      </c>
      <c r="O70" s="29">
        <v>-9.1010213770582868E-2</v>
      </c>
      <c r="P70" s="33">
        <v>0.36777303543770745</v>
      </c>
      <c r="Q70" s="33">
        <v>0.25837039013606861</v>
      </c>
      <c r="R70" s="33">
        <v>0.15902320103170409</v>
      </c>
      <c r="S70" s="29">
        <v>-5.7190077040692795E-2</v>
      </c>
      <c r="T70" s="33">
        <v>0.32146532706528463</v>
      </c>
      <c r="U70" s="33">
        <v>0.45742796235367833</v>
      </c>
      <c r="V70" s="33">
        <v>0.21129532094960096</v>
      </c>
      <c r="W70" s="33">
        <v>8.699884034707428E-2</v>
      </c>
      <c r="X70" s="33">
        <v>0.39771331691209022</v>
      </c>
      <c r="Y70" s="33">
        <v>0.32473461520179281</v>
      </c>
      <c r="Z70" s="33">
        <v>3.8778653341275164E-2</v>
      </c>
      <c r="AA70" s="33">
        <v>0.11759439445592636</v>
      </c>
      <c r="AB70" s="29">
        <v>-7.8671525643598944E-2</v>
      </c>
      <c r="AC70" s="33">
        <v>1.1540211440783399E-2</v>
      </c>
      <c r="AD70" s="33">
        <v>0.13908661941866537</v>
      </c>
      <c r="AE70" s="54">
        <v>0.50244709522145381</v>
      </c>
      <c r="AF70" s="54">
        <v>1.0000000000000004</v>
      </c>
      <c r="AG70" s="33">
        <v>0.30219720770200131</v>
      </c>
      <c r="AH70" s="33">
        <v>0.17973390899571709</v>
      </c>
      <c r="AI70" s="33">
        <v>0.20779178181283356</v>
      </c>
      <c r="AJ70" s="29">
        <v>-0.336795832681337</v>
      </c>
      <c r="AK70" s="51"/>
      <c r="AL70" s="48"/>
    </row>
    <row r="71" spans="1:48">
      <c r="A71" s="1" t="s">
        <v>93</v>
      </c>
      <c r="B71" s="54">
        <v>0.56567643448600791</v>
      </c>
      <c r="C71" s="53">
        <v>0.63612807553829509</v>
      </c>
      <c r="D71" s="54">
        <v>0.55851345540135333</v>
      </c>
      <c r="E71" s="33">
        <v>0.43667439110348433</v>
      </c>
      <c r="F71" s="54">
        <v>0.69658937833341783</v>
      </c>
      <c r="G71" s="54">
        <v>0.53108062333044492</v>
      </c>
      <c r="H71" s="33">
        <v>0.34141358172407277</v>
      </c>
      <c r="I71" s="29">
        <v>-0.1558036932919489</v>
      </c>
      <c r="J71" s="54">
        <v>0.50522290182652241</v>
      </c>
      <c r="K71" s="33">
        <v>0.37602348549903081</v>
      </c>
      <c r="L71" s="54">
        <v>0.54937104261696945</v>
      </c>
      <c r="M71" s="33">
        <v>0.43466648134159819</v>
      </c>
      <c r="N71" s="54">
        <v>0.72156958810701921</v>
      </c>
      <c r="O71" s="29">
        <v>-8.1583850840171571E-2</v>
      </c>
      <c r="P71" s="33">
        <v>0.41110316659504859</v>
      </c>
      <c r="Q71" s="54">
        <v>0.5839314473157774</v>
      </c>
      <c r="R71" s="33">
        <v>0.48988434149733184</v>
      </c>
      <c r="S71" s="54">
        <v>0.66333739625344124</v>
      </c>
      <c r="T71" s="33">
        <v>0.32930026893050446</v>
      </c>
      <c r="U71" s="33">
        <v>0.42251819886455083</v>
      </c>
      <c r="V71" s="54">
        <v>0.66797267745605604</v>
      </c>
      <c r="W71" s="54">
        <v>0.67285260214031128</v>
      </c>
      <c r="X71" s="33">
        <v>0.36474235030765723</v>
      </c>
      <c r="Y71" s="33">
        <v>0.38137852043526721</v>
      </c>
      <c r="Z71" s="33">
        <v>0.29791580182420319</v>
      </c>
      <c r="AA71" s="33">
        <v>0.17340114456410086</v>
      </c>
      <c r="AB71" s="33">
        <v>0.1164672489759926</v>
      </c>
      <c r="AC71" s="29">
        <v>-0.26181575676990615</v>
      </c>
      <c r="AD71" s="54">
        <v>0.65277024815007823</v>
      </c>
      <c r="AE71" s="54">
        <v>0.70299929975682995</v>
      </c>
      <c r="AF71" s="33">
        <v>0.30219720770200131</v>
      </c>
      <c r="AG71" s="54">
        <v>0.99999999999999967</v>
      </c>
      <c r="AH71" s="33">
        <v>0.40209911729327863</v>
      </c>
      <c r="AI71" s="29">
        <v>-3.9084298024693431E-2</v>
      </c>
      <c r="AJ71" s="29">
        <v>-7.1245139642985872E-2</v>
      </c>
      <c r="AK71" s="51"/>
      <c r="AL71" s="48"/>
    </row>
    <row r="72" spans="1:48">
      <c r="A72" s="1" t="s">
        <v>94</v>
      </c>
      <c r="B72" s="54">
        <v>0.66336746180912776</v>
      </c>
      <c r="C72" s="53">
        <v>0.73635835518379511</v>
      </c>
      <c r="D72" s="33">
        <v>0.39163152377095573</v>
      </c>
      <c r="E72" s="33">
        <v>0.13419257890276332</v>
      </c>
      <c r="F72" s="33">
        <v>0.39580498177291989</v>
      </c>
      <c r="G72" s="33">
        <v>0.12918124816071541</v>
      </c>
      <c r="H72" s="54">
        <v>0.53590437147928893</v>
      </c>
      <c r="I72" s="29">
        <v>-0.20937884299977355</v>
      </c>
      <c r="J72" s="54">
        <v>0.64078069091452583</v>
      </c>
      <c r="K72" s="33">
        <v>0.21328549251205797</v>
      </c>
      <c r="L72" s="33">
        <v>0.17452972881273068</v>
      </c>
      <c r="M72" s="54">
        <v>0.73069246533940369</v>
      </c>
      <c r="N72" s="54">
        <v>0.57487109905247724</v>
      </c>
      <c r="O72" s="29">
        <v>-2.886248003795918E-2</v>
      </c>
      <c r="P72" s="33">
        <v>0.22022952151801162</v>
      </c>
      <c r="Q72" s="54">
        <v>0.58022278403742622</v>
      </c>
      <c r="R72" s="33">
        <v>0.20268318486859135</v>
      </c>
      <c r="S72" s="33">
        <v>0.47138794272684592</v>
      </c>
      <c r="T72" s="33">
        <v>0.48700084942289174</v>
      </c>
      <c r="U72" s="54">
        <v>0.6994385230783573</v>
      </c>
      <c r="V72" s="33">
        <v>0.49788872892436375</v>
      </c>
      <c r="W72" s="33">
        <v>0.2019588502171844</v>
      </c>
      <c r="X72" s="33">
        <v>0.23592079296791504</v>
      </c>
      <c r="Y72" s="29">
        <v>-0.10328568638833754</v>
      </c>
      <c r="Z72" s="33">
        <v>0.208469758942602</v>
      </c>
      <c r="AA72" s="33">
        <v>0.40961368613745514</v>
      </c>
      <c r="AB72" s="29">
        <v>-7.5302325155258254E-2</v>
      </c>
      <c r="AC72" s="29">
        <v>-0.27722673671500669</v>
      </c>
      <c r="AD72" s="33">
        <v>0.44405096975174241</v>
      </c>
      <c r="AE72" s="33">
        <v>0.3743650049720888</v>
      </c>
      <c r="AF72" s="33">
        <v>0.17973390899571709</v>
      </c>
      <c r="AG72" s="33">
        <v>0.40209911729327863</v>
      </c>
      <c r="AH72" s="54">
        <v>0.99999999999999989</v>
      </c>
      <c r="AI72" s="33">
        <v>3.9733028600736499E-2</v>
      </c>
      <c r="AJ72" s="33">
        <v>0.22173405651467618</v>
      </c>
      <c r="AK72" s="51"/>
      <c r="AL72" s="48"/>
    </row>
    <row r="73" spans="1:48">
      <c r="A73" s="1" t="s">
        <v>95</v>
      </c>
      <c r="B73" s="29">
        <v>-0.18972031735410042</v>
      </c>
      <c r="C73" s="30">
        <v>-1.9748103542851052E-2</v>
      </c>
      <c r="D73" s="33">
        <v>8.7792207898046801E-2</v>
      </c>
      <c r="E73" s="29">
        <v>-7.5313002110658653E-2</v>
      </c>
      <c r="F73" s="29">
        <v>-7.4005688918631601E-2</v>
      </c>
      <c r="G73" s="29">
        <v>-0.30024032722590921</v>
      </c>
      <c r="H73" s="29">
        <v>-1.5641559427189092E-2</v>
      </c>
      <c r="I73" s="33">
        <v>8.3707828184880886E-2</v>
      </c>
      <c r="J73" s="33">
        <v>0.29111175835637854</v>
      </c>
      <c r="K73" s="33">
        <v>0.31679114575868111</v>
      </c>
      <c r="L73" s="33">
        <v>0.10036487826353832</v>
      </c>
      <c r="M73" s="33">
        <v>6.1641955494245414E-2</v>
      </c>
      <c r="N73" s="33">
        <v>0.23633116055003808</v>
      </c>
      <c r="O73" s="29">
        <v>-0.14979599587372963</v>
      </c>
      <c r="P73" s="29">
        <v>-5.2116913561797318E-2</v>
      </c>
      <c r="Q73" s="33">
        <v>0.22095125804275537</v>
      </c>
      <c r="R73" s="29">
        <v>-0.22738071987761688</v>
      </c>
      <c r="S73" s="29">
        <v>-0.24968965697990353</v>
      </c>
      <c r="T73" s="33">
        <v>6.4316165351569587E-2</v>
      </c>
      <c r="U73" s="33">
        <v>0.12151594032819217</v>
      </c>
      <c r="V73" s="29">
        <v>-0.18197707021514017</v>
      </c>
      <c r="W73" s="29">
        <v>-6.6838846491217074E-2</v>
      </c>
      <c r="X73" s="29">
        <v>-9.9455889912538611E-4</v>
      </c>
      <c r="Y73" s="33">
        <v>0.13141579427827976</v>
      </c>
      <c r="Z73" s="33">
        <v>2.8239689201287676E-2</v>
      </c>
      <c r="AA73" s="33">
        <v>0.27814565495728244</v>
      </c>
      <c r="AB73" s="29">
        <v>-0.17598271581188729</v>
      </c>
      <c r="AC73" s="29">
        <v>-0.2960849835843738</v>
      </c>
      <c r="AD73" s="29">
        <v>-0.27917425425773557</v>
      </c>
      <c r="AE73" s="33">
        <v>6.2308825191772964E-2</v>
      </c>
      <c r="AF73" s="33">
        <v>0.20779178181283356</v>
      </c>
      <c r="AG73" s="29">
        <v>-3.9084298024693431E-2</v>
      </c>
      <c r="AH73" s="33">
        <v>3.9733028600736499E-2</v>
      </c>
      <c r="AI73" s="54">
        <v>1</v>
      </c>
      <c r="AJ73" s="33">
        <v>1.9916074930822269E-2</v>
      </c>
      <c r="AK73" s="51"/>
      <c r="AL73" s="48"/>
    </row>
    <row r="74" spans="1:48">
      <c r="A74" s="1" t="s">
        <v>96</v>
      </c>
      <c r="B74" s="29">
        <v>-5.4738447469608903E-2</v>
      </c>
      <c r="C74" s="31">
        <v>7.5031640299628624E-2</v>
      </c>
      <c r="D74" s="33">
        <v>0.17146940198028848</v>
      </c>
      <c r="E74" s="29">
        <v>-0.19898270928255313</v>
      </c>
      <c r="F74" s="33">
        <v>6.7859889324019901E-2</v>
      </c>
      <c r="G74" s="29">
        <v>-1.0356810338197617E-2</v>
      </c>
      <c r="H74" s="33">
        <v>1.5841057807880109E-2</v>
      </c>
      <c r="I74" s="33">
        <v>3.1854449251071899E-2</v>
      </c>
      <c r="J74" s="29">
        <v>-9.4899807630284772E-2</v>
      </c>
      <c r="K74" s="29">
        <v>-0.22439824781207654</v>
      </c>
      <c r="L74" s="33">
        <v>9.751394406224452E-2</v>
      </c>
      <c r="M74" s="33">
        <v>0.14514498302684825</v>
      </c>
      <c r="N74" s="33">
        <v>9.0185417437999446E-2</v>
      </c>
      <c r="O74" s="33">
        <v>4.9293974757935524E-2</v>
      </c>
      <c r="P74" s="29">
        <v>-0.10570253026988792</v>
      </c>
      <c r="Q74" s="33">
        <v>5.2139936233632139E-2</v>
      </c>
      <c r="R74" s="33">
        <v>0.30991824272440743</v>
      </c>
      <c r="S74" s="33">
        <v>0.22985460892135334</v>
      </c>
      <c r="T74" s="33">
        <v>3.6088439744604621E-2</v>
      </c>
      <c r="U74" s="33">
        <v>9.8339983576638465E-2</v>
      </c>
      <c r="V74" s="33">
        <v>0.13892407939263424</v>
      </c>
      <c r="W74" s="29">
        <v>-0.18218114284120876</v>
      </c>
      <c r="X74" s="29">
        <v>-0.16889165926209274</v>
      </c>
      <c r="Y74" s="29">
        <v>-0.24621924961484321</v>
      </c>
      <c r="Z74" s="33">
        <v>4.0003259941259688E-2</v>
      </c>
      <c r="AA74" s="33">
        <v>0.21230201503084792</v>
      </c>
      <c r="AB74" s="33">
        <v>0.26796335502090818</v>
      </c>
      <c r="AC74" s="29">
        <v>-0.20035430127349285</v>
      </c>
      <c r="AD74" s="33">
        <v>0.1481065127394392</v>
      </c>
      <c r="AE74" s="29">
        <v>-0.18566987973839086</v>
      </c>
      <c r="AF74" s="29">
        <v>-0.336795832681337</v>
      </c>
      <c r="AG74" s="29">
        <v>-7.1245139642985872E-2</v>
      </c>
      <c r="AH74" s="33">
        <v>0.22173405651467618</v>
      </c>
      <c r="AI74" s="33">
        <v>1.9916074930822269E-2</v>
      </c>
      <c r="AJ74" s="54">
        <v>1.0000000000000004</v>
      </c>
      <c r="AK74" s="51"/>
      <c r="AL74" s="48"/>
    </row>
    <row r="75" spans="1:48">
      <c r="A75" s="1"/>
      <c r="B75" s="51"/>
      <c r="C75" s="50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48"/>
    </row>
    <row r="76" spans="1:48" s="22" customFormat="1">
      <c r="A76" s="1"/>
      <c r="B76" s="51"/>
      <c r="C76" s="50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48"/>
    </row>
    <row r="77" spans="1:48">
      <c r="A77" s="106" t="s">
        <v>60</v>
      </c>
      <c r="B77" s="106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48"/>
    </row>
    <row r="78" spans="1:48" s="48" customFormat="1">
      <c r="B78" s="22" t="s">
        <v>62</v>
      </c>
      <c r="C78" s="2" t="s">
        <v>63</v>
      </c>
      <c r="D78" s="22" t="s">
        <v>64</v>
      </c>
      <c r="E78" s="22" t="s">
        <v>65</v>
      </c>
      <c r="F78" s="22" t="s">
        <v>66</v>
      </c>
      <c r="G78" s="22" t="s">
        <v>67</v>
      </c>
      <c r="H78" s="22" t="s">
        <v>68</v>
      </c>
      <c r="I78" s="22" t="s">
        <v>69</v>
      </c>
      <c r="J78" s="22" t="s">
        <v>70</v>
      </c>
      <c r="K78" s="22" t="s">
        <v>71</v>
      </c>
      <c r="L78" s="22" t="s">
        <v>72</v>
      </c>
      <c r="M78" s="22" t="s">
        <v>73</v>
      </c>
      <c r="N78" s="22" t="s">
        <v>74</v>
      </c>
      <c r="O78" s="22" t="s">
        <v>75</v>
      </c>
      <c r="P78" s="22" t="s">
        <v>76</v>
      </c>
      <c r="Q78" s="22" t="s">
        <v>77</v>
      </c>
      <c r="R78" s="22" t="s">
        <v>78</v>
      </c>
      <c r="S78" s="22" t="s">
        <v>79</v>
      </c>
      <c r="T78" s="22" t="s">
        <v>80</v>
      </c>
      <c r="U78" s="22" t="s">
        <v>81</v>
      </c>
      <c r="V78" s="22" t="s">
        <v>82</v>
      </c>
      <c r="W78" s="22" t="s">
        <v>83</v>
      </c>
      <c r="X78" s="22" t="s">
        <v>84</v>
      </c>
      <c r="Y78" s="22" t="s">
        <v>85</v>
      </c>
      <c r="Z78" s="22" t="s">
        <v>86</v>
      </c>
      <c r="AA78" s="22" t="s">
        <v>87</v>
      </c>
      <c r="AB78" s="22" t="s">
        <v>88</v>
      </c>
      <c r="AC78" s="22" t="s">
        <v>89</v>
      </c>
      <c r="AD78" s="22" t="s">
        <v>90</v>
      </c>
      <c r="AE78" s="22" t="s">
        <v>91</v>
      </c>
      <c r="AF78" s="22" t="s">
        <v>92</v>
      </c>
      <c r="AG78" s="22" t="s">
        <v>93</v>
      </c>
      <c r="AH78" s="22" t="s">
        <v>94</v>
      </c>
      <c r="AI78" s="22" t="s">
        <v>95</v>
      </c>
      <c r="AJ78" s="22" t="s">
        <v>96</v>
      </c>
    </row>
    <row r="79" spans="1:48">
      <c r="A79" s="1" t="s">
        <v>62</v>
      </c>
      <c r="B79" s="74">
        <v>2.9493586043701947E-2</v>
      </c>
      <c r="C79" s="74">
        <v>2.183628929791925E-2</v>
      </c>
      <c r="D79" s="74">
        <v>3.4955884375627282E-3</v>
      </c>
      <c r="E79" s="74">
        <v>1.6591198567771613E-3</v>
      </c>
      <c r="F79" s="74">
        <v>1.1390614405094259E-2</v>
      </c>
      <c r="G79" s="74">
        <v>7.0736169072693781E-3</v>
      </c>
      <c r="H79" s="74">
        <v>7.6367708450234099E-3</v>
      </c>
      <c r="I79" s="74">
        <v>-1.3376091591198928E-3</v>
      </c>
      <c r="J79" s="74">
        <v>7.2034103386856554E-3</v>
      </c>
      <c r="K79" s="74">
        <v>8.1807031616544269E-3</v>
      </c>
      <c r="L79" s="74">
        <v>3.0457866463998741E-3</v>
      </c>
      <c r="M79" s="74">
        <v>7.4641391131578631E-3</v>
      </c>
      <c r="N79" s="74">
        <v>1.4169014222817187E-2</v>
      </c>
      <c r="O79" s="74">
        <v>-1.6560295995881897E-3</v>
      </c>
      <c r="P79" s="74">
        <v>1.0147353909561237E-2</v>
      </c>
      <c r="Q79" s="74">
        <v>3.5424890817108245E-3</v>
      </c>
      <c r="R79" s="74">
        <v>1.795190206641325E-3</v>
      </c>
      <c r="S79" s="74">
        <v>1.1731535206602653E-2</v>
      </c>
      <c r="T79" s="74">
        <v>6.0080154605409277E-3</v>
      </c>
      <c r="U79" s="74">
        <v>7.6174837976656189E-3</v>
      </c>
      <c r="V79" s="74">
        <v>1.5389374800931603E-2</v>
      </c>
      <c r="W79" s="74">
        <v>5.1589142736135291E-3</v>
      </c>
      <c r="X79" s="74">
        <v>7.553113815981536E-3</v>
      </c>
      <c r="Y79" s="74">
        <v>2.9964883762572873E-3</v>
      </c>
      <c r="Z79" s="74">
        <v>4.1655330230627305E-3</v>
      </c>
      <c r="AA79" s="74">
        <v>2.5703274942822413E-3</v>
      </c>
      <c r="AB79" s="74">
        <v>-9.5325793686277963E-4</v>
      </c>
      <c r="AC79" s="74">
        <v>2.8865263063413245E-4</v>
      </c>
      <c r="AD79" s="74">
        <v>1.2747071203157984E-2</v>
      </c>
      <c r="AE79" s="74">
        <v>1.1498655985868802E-2</v>
      </c>
      <c r="AF79" s="74">
        <v>1.1639798012479637E-2</v>
      </c>
      <c r="AG79" s="74">
        <v>5.2964265847365161E-3</v>
      </c>
      <c r="AH79" s="74">
        <v>1.7328177573425304E-2</v>
      </c>
      <c r="AI79" s="74">
        <v>-2.2291256034080052E-3</v>
      </c>
      <c r="AJ79" s="74">
        <v>-3.2167884364457037E-4</v>
      </c>
      <c r="AK79" s="73"/>
      <c r="AL79" s="73"/>
      <c r="AM79" s="72"/>
      <c r="AN79" s="72"/>
      <c r="AO79" s="72"/>
      <c r="AP79" s="72"/>
      <c r="AQ79" s="72"/>
      <c r="AR79" s="72"/>
      <c r="AS79" s="72"/>
      <c r="AT79" s="72"/>
      <c r="AU79" s="72"/>
      <c r="AV79" s="72"/>
    </row>
    <row r="80" spans="1:48">
      <c r="A80" s="1" t="s">
        <v>63</v>
      </c>
      <c r="B80" s="74">
        <v>2.183628929791925E-2</v>
      </c>
      <c r="C80" s="74">
        <v>2.6734910326068465E-2</v>
      </c>
      <c r="D80" s="74">
        <v>4.0330365252362532E-3</v>
      </c>
      <c r="E80" s="74">
        <v>2.6467652237912431E-3</v>
      </c>
      <c r="F80" s="74">
        <v>1.2272897965873086E-2</v>
      </c>
      <c r="G80" s="74">
        <v>6.3323300275870331E-3</v>
      </c>
      <c r="H80" s="74">
        <v>6.2596286471618282E-3</v>
      </c>
      <c r="I80" s="74">
        <v>-2.5662100267965214E-3</v>
      </c>
      <c r="J80" s="74">
        <v>8.5881730328255749E-3</v>
      </c>
      <c r="K80" s="74">
        <v>8.709698913623146E-3</v>
      </c>
      <c r="L80" s="74">
        <v>3.1518561201999071E-3</v>
      </c>
      <c r="M80" s="74">
        <v>8.430878498118256E-3</v>
      </c>
      <c r="N80" s="74">
        <v>1.4269061285763857E-2</v>
      </c>
      <c r="O80" s="74">
        <v>-1.9556997945111248E-3</v>
      </c>
      <c r="P80" s="74">
        <v>1.0888505695850814E-2</v>
      </c>
      <c r="Q80" s="74">
        <v>3.7831386021302186E-3</v>
      </c>
      <c r="R80" s="74">
        <v>4.1018685868219815E-3</v>
      </c>
      <c r="S80" s="74">
        <v>1.8238590432853325E-2</v>
      </c>
      <c r="T80" s="74">
        <v>5.700571890647696E-3</v>
      </c>
      <c r="U80" s="74">
        <v>7.5097623557386639E-3</v>
      </c>
      <c r="V80" s="74">
        <v>1.5321986726017285E-2</v>
      </c>
      <c r="W80" s="74">
        <v>4.2119999815041177E-3</v>
      </c>
      <c r="X80" s="74">
        <v>8.4427142283769515E-3</v>
      </c>
      <c r="Y80" s="74">
        <v>4.5086062137944015E-3</v>
      </c>
      <c r="Z80" s="74">
        <v>6.7817024884335641E-3</v>
      </c>
      <c r="AA80" s="74">
        <v>5.1048628175632159E-3</v>
      </c>
      <c r="AB80" s="74">
        <v>6.6168739082501666E-4</v>
      </c>
      <c r="AC80" s="74">
        <v>-1.6888928941561924E-3</v>
      </c>
      <c r="AD80" s="74">
        <v>1.3522051500993261E-2</v>
      </c>
      <c r="AE80" s="74">
        <v>1.0818718408520188E-2</v>
      </c>
      <c r="AF80" s="74">
        <v>7.6602904566884268E-3</v>
      </c>
      <c r="AG80" s="74">
        <v>5.6706782859071367E-3</v>
      </c>
      <c r="AH80" s="74">
        <v>1.8313169659267662E-2</v>
      </c>
      <c r="AI80" s="74">
        <v>-2.2091320121295078E-4</v>
      </c>
      <c r="AJ80" s="74">
        <v>4.1980735192194353E-4</v>
      </c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</row>
    <row r="81" spans="1:48">
      <c r="A81" s="1" t="s">
        <v>64</v>
      </c>
      <c r="B81" s="74">
        <v>3.4955884375627282E-3</v>
      </c>
      <c r="C81" s="74">
        <v>4.0330365252362532E-3</v>
      </c>
      <c r="D81" s="74">
        <v>2.4633806147832016E-3</v>
      </c>
      <c r="E81" s="74">
        <v>8.4011684023166334E-4</v>
      </c>
      <c r="F81" s="74">
        <v>3.3343763377463326E-3</v>
      </c>
      <c r="G81" s="74">
        <v>1.495479424829595E-3</v>
      </c>
      <c r="H81" s="74">
        <v>6.3512715485488952E-4</v>
      </c>
      <c r="I81" s="74">
        <v>-7.4865064371023497E-4</v>
      </c>
      <c r="J81" s="74">
        <v>2.3245496580145942E-3</v>
      </c>
      <c r="K81" s="74">
        <v>2.2090446832099091E-3</v>
      </c>
      <c r="L81" s="74">
        <v>5.9041081590093328E-4</v>
      </c>
      <c r="M81" s="74">
        <v>1.310565602234572E-3</v>
      </c>
      <c r="N81" s="74">
        <v>3.2280107617151804E-3</v>
      </c>
      <c r="O81" s="74">
        <v>2.8329806703602845E-4</v>
      </c>
      <c r="P81" s="74">
        <v>3.0071834534258976E-3</v>
      </c>
      <c r="Q81" s="74">
        <v>1.0773910674499218E-3</v>
      </c>
      <c r="R81" s="74">
        <v>1.8352085896604705E-3</v>
      </c>
      <c r="S81" s="74">
        <v>3.1335049375185008E-3</v>
      </c>
      <c r="T81" s="74">
        <v>1.0123210074327387E-3</v>
      </c>
      <c r="U81" s="74">
        <v>1.3457029142094482E-3</v>
      </c>
      <c r="V81" s="74">
        <v>3.0523126665087685E-3</v>
      </c>
      <c r="W81" s="74">
        <v>1.5892741519578557E-3</v>
      </c>
      <c r="X81" s="74">
        <v>1.480611059796174E-3</v>
      </c>
      <c r="Y81" s="74">
        <v>9.8800305762824689E-4</v>
      </c>
      <c r="Z81" s="74">
        <v>5.8527224801497256E-4</v>
      </c>
      <c r="AA81" s="74">
        <v>1.4789302731983785E-3</v>
      </c>
      <c r="AB81" s="74">
        <v>4.665298422813094E-4</v>
      </c>
      <c r="AC81" s="74">
        <v>-4.1346035111305973E-4</v>
      </c>
      <c r="AD81" s="74">
        <v>3.265306813877896E-3</v>
      </c>
      <c r="AE81" s="74">
        <v>3.1537435683902187E-3</v>
      </c>
      <c r="AF81" s="74">
        <v>2.4950531384369153E-3</v>
      </c>
      <c r="AG81" s="74">
        <v>1.5112992952528196E-3</v>
      </c>
      <c r="AH81" s="74">
        <v>2.9565030828157808E-3</v>
      </c>
      <c r="AI81" s="74">
        <v>2.9811143735760509E-4</v>
      </c>
      <c r="AJ81" s="74">
        <v>2.9121827575009083E-4</v>
      </c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</row>
    <row r="82" spans="1:48">
      <c r="A82" s="1" t="s">
        <v>65</v>
      </c>
      <c r="B82" s="74">
        <v>1.6591198567771613E-3</v>
      </c>
      <c r="C82" s="74">
        <v>2.6467652237912431E-3</v>
      </c>
      <c r="D82" s="74">
        <v>8.4011684023166334E-4</v>
      </c>
      <c r="E82" s="74">
        <v>2.1221498560591596E-3</v>
      </c>
      <c r="F82" s="74">
        <v>3.9631796246984865E-4</v>
      </c>
      <c r="G82" s="74">
        <v>1.1352223580029885E-3</v>
      </c>
      <c r="H82" s="74">
        <v>1.6665049978927698E-4</v>
      </c>
      <c r="I82" s="74">
        <v>-6.3639156379303433E-4</v>
      </c>
      <c r="J82" s="74">
        <v>1.1882201027757751E-3</v>
      </c>
      <c r="K82" s="74">
        <v>1.5276378962530476E-3</v>
      </c>
      <c r="L82" s="74">
        <v>2.9495163707115115E-4</v>
      </c>
      <c r="M82" s="74">
        <v>3.5770372354338337E-4</v>
      </c>
      <c r="N82" s="74">
        <v>1.8427122081443174E-3</v>
      </c>
      <c r="O82" s="74">
        <v>-5.3870685792569686E-4</v>
      </c>
      <c r="P82" s="74">
        <v>2.5435548332653317E-3</v>
      </c>
      <c r="Q82" s="74">
        <v>2.6656066557968755E-4</v>
      </c>
      <c r="R82" s="74">
        <v>1.3924335720168657E-3</v>
      </c>
      <c r="S82" s="74">
        <v>2.0070806002151177E-3</v>
      </c>
      <c r="T82" s="74">
        <v>-1.5954536426579416E-4</v>
      </c>
      <c r="U82" s="74">
        <v>8.4304246254139463E-4</v>
      </c>
      <c r="V82" s="74">
        <v>7.0461642574569025E-4</v>
      </c>
      <c r="W82" s="74">
        <v>8.3713877886019278E-4</v>
      </c>
      <c r="X82" s="74">
        <v>2.3319851995194526E-3</v>
      </c>
      <c r="Y82" s="74">
        <v>1.2592905867311285E-3</v>
      </c>
      <c r="Z82" s="74">
        <v>6.2373482645073882E-4</v>
      </c>
      <c r="AA82" s="74">
        <v>2.5222162913528457E-4</v>
      </c>
      <c r="AB82" s="74">
        <v>7.5697764174932885E-4</v>
      </c>
      <c r="AC82" s="74">
        <v>1.1921120255306897E-4</v>
      </c>
      <c r="AD82" s="74">
        <v>1.1218912619834352E-3</v>
      </c>
      <c r="AE82" s="74">
        <v>2.4717691547170837E-3</v>
      </c>
      <c r="AF82" s="74">
        <v>2.8430212623312065E-3</v>
      </c>
      <c r="AG82" s="74">
        <v>1.0967226865769184E-3</v>
      </c>
      <c r="AH82" s="74">
        <v>9.4026757001525066E-4</v>
      </c>
      <c r="AI82" s="74">
        <v>-2.3736402153810108E-4</v>
      </c>
      <c r="AJ82" s="74">
        <v>-3.1366755395471056E-4</v>
      </c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</row>
    <row r="83" spans="1:48">
      <c r="A83" s="1" t="s">
        <v>66</v>
      </c>
      <c r="B83" s="74">
        <v>1.1390614405094259E-2</v>
      </c>
      <c r="C83" s="74">
        <v>1.2272897965873086E-2</v>
      </c>
      <c r="D83" s="74">
        <v>3.3343763377463326E-3</v>
      </c>
      <c r="E83" s="74">
        <v>3.9631796246984865E-4</v>
      </c>
      <c r="F83" s="74">
        <v>1.0824821047279228E-2</v>
      </c>
      <c r="G83" s="74">
        <v>5.0827741103021728E-3</v>
      </c>
      <c r="H83" s="74">
        <v>2.2279104675368409E-3</v>
      </c>
      <c r="I83" s="74">
        <v>-1.362596418502137E-3</v>
      </c>
      <c r="J83" s="74">
        <v>3.2991665072414841E-3</v>
      </c>
      <c r="K83" s="74">
        <v>5.6432062309351985E-3</v>
      </c>
      <c r="L83" s="74">
        <v>2.0324733170072984E-3</v>
      </c>
      <c r="M83" s="74">
        <v>3.9279707284599731E-3</v>
      </c>
      <c r="N83" s="74">
        <v>8.3287014410901566E-3</v>
      </c>
      <c r="O83" s="74">
        <v>-1.563695335790869E-4</v>
      </c>
      <c r="P83" s="74">
        <v>8.2019862409774894E-3</v>
      </c>
      <c r="Q83" s="74">
        <v>1.6277759221826882E-3</v>
      </c>
      <c r="R83" s="74">
        <v>3.3595652779443547E-3</v>
      </c>
      <c r="S83" s="74">
        <v>1.0533802276219625E-2</v>
      </c>
      <c r="T83" s="74">
        <v>4.1001898994658618E-3</v>
      </c>
      <c r="U83" s="74">
        <v>2.4968296621352992E-3</v>
      </c>
      <c r="V83" s="74">
        <v>1.1274755811096861E-2</v>
      </c>
      <c r="W83" s="74">
        <v>3.2027763558709487E-3</v>
      </c>
      <c r="X83" s="74">
        <v>3.8765842508664511E-3</v>
      </c>
      <c r="Y83" s="74">
        <v>2.4413096326645835E-3</v>
      </c>
      <c r="Z83" s="74">
        <v>3.2979735922807761E-3</v>
      </c>
      <c r="AA83" s="74">
        <v>3.1087617635906523E-3</v>
      </c>
      <c r="AB83" s="74">
        <v>2.3760247416055994E-4</v>
      </c>
      <c r="AC83" s="74">
        <v>-1.1578338785130126E-3</v>
      </c>
      <c r="AD83" s="74">
        <v>9.9330915801082772E-3</v>
      </c>
      <c r="AE83" s="74">
        <v>6.9590965621753728E-3</v>
      </c>
      <c r="AF83" s="74">
        <v>3.9666049051708561E-3</v>
      </c>
      <c r="AG83" s="74">
        <v>3.9512844055797228E-3</v>
      </c>
      <c r="AH83" s="74">
        <v>6.2636365965250511E-3</v>
      </c>
      <c r="AI83" s="74">
        <v>-5.2678375784665193E-4</v>
      </c>
      <c r="AJ83" s="74">
        <v>2.4159600187052943E-4</v>
      </c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</row>
    <row r="84" spans="1:48">
      <c r="A84" s="1" t="s">
        <v>67</v>
      </c>
      <c r="B84" s="74">
        <v>7.0736169072693781E-3</v>
      </c>
      <c r="C84" s="74">
        <v>6.3323300275870331E-3</v>
      </c>
      <c r="D84" s="74">
        <v>1.495479424829595E-3</v>
      </c>
      <c r="E84" s="74">
        <v>1.1352223580029885E-3</v>
      </c>
      <c r="F84" s="74">
        <v>5.0827741103021728E-3</v>
      </c>
      <c r="G84" s="74">
        <v>6.4527571550015142E-3</v>
      </c>
      <c r="H84" s="74">
        <v>-1.1210148431676435E-4</v>
      </c>
      <c r="I84" s="74">
        <v>-1.9540830340951765E-3</v>
      </c>
      <c r="J84" s="74">
        <v>3.2836500862863514E-4</v>
      </c>
      <c r="K84" s="74">
        <v>2.8490080409562368E-3</v>
      </c>
      <c r="L84" s="74">
        <v>1.5780999303015505E-3</v>
      </c>
      <c r="M84" s="74">
        <v>1.2069896367111613E-3</v>
      </c>
      <c r="N84" s="74">
        <v>4.9289079100166382E-3</v>
      </c>
      <c r="O84" s="74">
        <v>-7.2269191581419859E-4</v>
      </c>
      <c r="P84" s="74">
        <v>7.2588823624534192E-3</v>
      </c>
      <c r="Q84" s="74">
        <v>9.3901465096842343E-4</v>
      </c>
      <c r="R84" s="74">
        <v>1.3115756085724532E-3</v>
      </c>
      <c r="S84" s="74">
        <v>6.7311840686696059E-3</v>
      </c>
      <c r="T84" s="74">
        <v>1.3481483089707554E-3</v>
      </c>
      <c r="U84" s="74">
        <v>-8.1869506549690546E-4</v>
      </c>
      <c r="V84" s="74">
        <v>6.564141644866261E-3</v>
      </c>
      <c r="W84" s="74">
        <v>1.9878305591848676E-3</v>
      </c>
      <c r="X84" s="74">
        <v>4.0199917498450043E-3</v>
      </c>
      <c r="Y84" s="74">
        <v>2.7037739937887406E-3</v>
      </c>
      <c r="Z84" s="74">
        <v>2.55014892788296E-3</v>
      </c>
      <c r="AA84" s="74">
        <v>1.7341310944878425E-3</v>
      </c>
      <c r="AB84" s="74">
        <v>5.5864838681963774E-5</v>
      </c>
      <c r="AC84" s="74">
        <v>8.3228863405805577E-4</v>
      </c>
      <c r="AD84" s="74">
        <v>6.3549119209140538E-3</v>
      </c>
      <c r="AE84" s="74">
        <v>4.1744429874212502E-3</v>
      </c>
      <c r="AF84" s="74">
        <v>-1.6921049339085426E-4</v>
      </c>
      <c r="AG84" s="74">
        <v>2.3258633567147429E-3</v>
      </c>
      <c r="AH84" s="74">
        <v>1.5783636518471617E-3</v>
      </c>
      <c r="AI84" s="74">
        <v>-1.6500556545670892E-3</v>
      </c>
      <c r="AJ84" s="74">
        <v>-2.8468521768011151E-5</v>
      </c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</row>
    <row r="85" spans="1:48">
      <c r="A85" s="1" t="s">
        <v>68</v>
      </c>
      <c r="B85" s="74">
        <v>7.6367708450234099E-3</v>
      </c>
      <c r="C85" s="74">
        <v>6.2596286471618282E-3</v>
      </c>
      <c r="D85" s="74">
        <v>6.3512715485488952E-4</v>
      </c>
      <c r="E85" s="74">
        <v>1.6665049978927698E-4</v>
      </c>
      <c r="F85" s="74">
        <v>2.2279104675368409E-3</v>
      </c>
      <c r="G85" s="74">
        <v>-1.1210148431676435E-4</v>
      </c>
      <c r="H85" s="74">
        <v>7.250260490905009E-3</v>
      </c>
      <c r="I85" s="74">
        <v>2.2863830496747044E-3</v>
      </c>
      <c r="J85" s="74">
        <v>3.6636197128365818E-3</v>
      </c>
      <c r="K85" s="74">
        <v>2.9470739367052144E-3</v>
      </c>
      <c r="L85" s="74">
        <v>9.2093578886969071E-4</v>
      </c>
      <c r="M85" s="74">
        <v>4.2042282841072377E-3</v>
      </c>
      <c r="N85" s="74">
        <v>3.6089548329184284E-3</v>
      </c>
      <c r="O85" s="74">
        <v>-1.1757747406246479E-3</v>
      </c>
      <c r="P85" s="74">
        <v>1.9141762055639383E-3</v>
      </c>
      <c r="Q85" s="74">
        <v>1.5789080272816394E-3</v>
      </c>
      <c r="R85" s="74">
        <v>1.9239834260548472E-3</v>
      </c>
      <c r="S85" s="74">
        <v>5.6980256469189895E-3</v>
      </c>
      <c r="T85" s="74">
        <v>3.8267908445169621E-3</v>
      </c>
      <c r="U85" s="74">
        <v>3.1821985471902937E-3</v>
      </c>
      <c r="V85" s="74">
        <v>3.8757345972581861E-3</v>
      </c>
      <c r="W85" s="74">
        <v>3.1468752511343017E-3</v>
      </c>
      <c r="X85" s="74">
        <v>2.0716354251206623E-3</v>
      </c>
      <c r="Y85" s="74">
        <v>4.3805033249970875E-4</v>
      </c>
      <c r="Z85" s="74">
        <v>5.0694512987256351E-4</v>
      </c>
      <c r="AA85" s="74">
        <v>1.696841355203992E-3</v>
      </c>
      <c r="AB85" s="74">
        <v>-2.5283235386882864E-4</v>
      </c>
      <c r="AC85" s="74">
        <v>7.6654387669096403E-4</v>
      </c>
      <c r="AD85" s="74">
        <v>3.3576679719190057E-3</v>
      </c>
      <c r="AE85" s="74">
        <v>3.5197009478106951E-3</v>
      </c>
      <c r="AF85" s="74">
        <v>2.2334477688289852E-3</v>
      </c>
      <c r="AG85" s="74">
        <v>1.5849248642197937E-3</v>
      </c>
      <c r="AH85" s="74">
        <v>6.9406323306533879E-3</v>
      </c>
      <c r="AI85" s="74">
        <v>-9.1120010625259673E-5</v>
      </c>
      <c r="AJ85" s="74">
        <v>4.6155899307539178E-5</v>
      </c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</row>
    <row r="86" spans="1:48">
      <c r="A86" s="1" t="s">
        <v>69</v>
      </c>
      <c r="B86" s="74">
        <v>-1.3376091591198928E-3</v>
      </c>
      <c r="C86" s="74">
        <v>-2.5662100267965214E-3</v>
      </c>
      <c r="D86" s="74">
        <v>-7.4865064371023497E-4</v>
      </c>
      <c r="E86" s="74">
        <v>-6.3639156379303433E-4</v>
      </c>
      <c r="F86" s="74">
        <v>-1.362596418502137E-3</v>
      </c>
      <c r="G86" s="74">
        <v>-1.9540830340951765E-3</v>
      </c>
      <c r="H86" s="74">
        <v>2.2863830496747044E-3</v>
      </c>
      <c r="I86" s="74">
        <v>3.4034470994277473E-3</v>
      </c>
      <c r="J86" s="74">
        <v>1.0737798494640772E-4</v>
      </c>
      <c r="K86" s="74">
        <v>1.0622004126100949E-3</v>
      </c>
      <c r="L86" s="74">
        <v>-2.9693324888585581E-4</v>
      </c>
      <c r="M86" s="74">
        <v>6.373818403546805E-4</v>
      </c>
      <c r="N86" s="74">
        <v>-1.3441570571821034E-3</v>
      </c>
      <c r="O86" s="74">
        <v>-3.9568611517910298E-4</v>
      </c>
      <c r="P86" s="74">
        <v>-1.063809247582231E-3</v>
      </c>
      <c r="Q86" s="74">
        <v>-1.6949331035085583E-4</v>
      </c>
      <c r="R86" s="74">
        <v>1.0529941821205474E-3</v>
      </c>
      <c r="S86" s="74">
        <v>-1.8565077411769198E-3</v>
      </c>
      <c r="T86" s="74">
        <v>1.5881003036289293E-3</v>
      </c>
      <c r="U86" s="74">
        <v>8.9538394902021748E-4</v>
      </c>
      <c r="V86" s="74">
        <v>-1.4805407029492932E-3</v>
      </c>
      <c r="W86" s="74">
        <v>5.6425792333937911E-4</v>
      </c>
      <c r="X86" s="74">
        <v>-8.8068353253876672E-4</v>
      </c>
      <c r="Y86" s="74">
        <v>2.5274660650664517E-5</v>
      </c>
      <c r="Z86" s="74">
        <v>-1.8972700403121318E-3</v>
      </c>
      <c r="AA86" s="74">
        <v>-1.8903894247059523E-4</v>
      </c>
      <c r="AB86" s="74">
        <v>-3.9907524864650539E-4</v>
      </c>
      <c r="AC86" s="74">
        <v>4.9340297762752894E-4</v>
      </c>
      <c r="AD86" s="74">
        <v>-1.9980323485395165E-3</v>
      </c>
      <c r="AE86" s="74">
        <v>-9.8853024961940224E-4</v>
      </c>
      <c r="AF86" s="74">
        <v>1.2756869060862942E-3</v>
      </c>
      <c r="AG86" s="74">
        <v>-4.9555096976390013E-4</v>
      </c>
      <c r="AH86" s="74">
        <v>-1.857920950473954E-3</v>
      </c>
      <c r="AI86" s="74">
        <v>3.3410462225046469E-4</v>
      </c>
      <c r="AJ86" s="74">
        <v>6.3591026611269484E-5</v>
      </c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</row>
    <row r="87" spans="1:48">
      <c r="A87" s="1" t="s">
        <v>70</v>
      </c>
      <c r="B87" s="74">
        <v>7.2034103386856554E-3</v>
      </c>
      <c r="C87" s="74">
        <v>8.5881730328255749E-3</v>
      </c>
      <c r="D87" s="74">
        <v>2.3245496580145942E-3</v>
      </c>
      <c r="E87" s="74">
        <v>1.1882201027757751E-3</v>
      </c>
      <c r="F87" s="74">
        <v>3.2991665072414841E-3</v>
      </c>
      <c r="G87" s="74">
        <v>3.2836500862863514E-4</v>
      </c>
      <c r="H87" s="74">
        <v>3.6636197128365818E-3</v>
      </c>
      <c r="I87" s="74">
        <v>1.0737798494640772E-4</v>
      </c>
      <c r="J87" s="74">
        <v>8.4162764138491688E-3</v>
      </c>
      <c r="K87" s="74">
        <v>4.7657525041556138E-3</v>
      </c>
      <c r="L87" s="74">
        <v>1.3873078080668946E-3</v>
      </c>
      <c r="M87" s="74">
        <v>3.5762018513650854E-3</v>
      </c>
      <c r="N87" s="74">
        <v>6.262365980123522E-3</v>
      </c>
      <c r="O87" s="74">
        <v>-2.5404930273115948E-4</v>
      </c>
      <c r="P87" s="74">
        <v>1.9274131694757349E-3</v>
      </c>
      <c r="Q87" s="74">
        <v>2.725937410165866E-3</v>
      </c>
      <c r="R87" s="74">
        <v>1.7378993591985325E-3</v>
      </c>
      <c r="S87" s="74">
        <v>4.9288338338354595E-3</v>
      </c>
      <c r="T87" s="74">
        <v>2.9758477155514187E-3</v>
      </c>
      <c r="U87" s="74">
        <v>4.0235363005180066E-3</v>
      </c>
      <c r="V87" s="74">
        <v>3.4414264549606165E-3</v>
      </c>
      <c r="W87" s="74">
        <v>4.0757698297721016E-3</v>
      </c>
      <c r="X87" s="74">
        <v>1.9975190224370879E-3</v>
      </c>
      <c r="Y87" s="74">
        <v>2.2954597572344727E-3</v>
      </c>
      <c r="Z87" s="74">
        <v>1.3303119299537607E-3</v>
      </c>
      <c r="AA87" s="74">
        <v>2.4849504650871442E-3</v>
      </c>
      <c r="AB87" s="74">
        <v>-2.8480691797636107E-4</v>
      </c>
      <c r="AC87" s="74">
        <v>-7.4416281722211499E-4</v>
      </c>
      <c r="AD87" s="74">
        <v>3.5318239916359642E-3</v>
      </c>
      <c r="AE87" s="74">
        <v>4.471429869646216E-3</v>
      </c>
      <c r="AF87" s="74">
        <v>5.4049703533757612E-3</v>
      </c>
      <c r="AG87" s="74">
        <v>2.5269351929227877E-3</v>
      </c>
      <c r="AH87" s="74">
        <v>8.941375744304883E-3</v>
      </c>
      <c r="AI87" s="74">
        <v>1.82716029893475E-3</v>
      </c>
      <c r="AJ87" s="74">
        <v>-2.9791444441124558E-4</v>
      </c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</row>
    <row r="88" spans="1:48">
      <c r="A88" s="1" t="s">
        <v>71</v>
      </c>
      <c r="B88" s="74">
        <v>8.1807031616544269E-3</v>
      </c>
      <c r="C88" s="74">
        <v>8.709698913623146E-3</v>
      </c>
      <c r="D88" s="74">
        <v>2.2090446832099091E-3</v>
      </c>
      <c r="E88" s="74">
        <v>1.5276378962530476E-3</v>
      </c>
      <c r="F88" s="74">
        <v>5.6432062309351985E-3</v>
      </c>
      <c r="G88" s="74">
        <v>2.8490080409562368E-3</v>
      </c>
      <c r="H88" s="74">
        <v>2.9470739367052144E-3</v>
      </c>
      <c r="I88" s="74">
        <v>1.0622004126100949E-3</v>
      </c>
      <c r="J88" s="74">
        <v>4.7657525041556138E-3</v>
      </c>
      <c r="K88" s="74">
        <v>1.0716036584526216E-2</v>
      </c>
      <c r="L88" s="74">
        <v>1.8609035013976592E-3</v>
      </c>
      <c r="M88" s="74">
        <v>3.3477719839161129E-3</v>
      </c>
      <c r="N88" s="74">
        <v>7.4136534244749171E-3</v>
      </c>
      <c r="O88" s="74">
        <v>-1.1059870969768767E-3</v>
      </c>
      <c r="P88" s="74">
        <v>8.5398104435882669E-3</v>
      </c>
      <c r="Q88" s="74">
        <v>1.3145298634338887E-3</v>
      </c>
      <c r="R88" s="74">
        <v>2.9070559648864645E-3</v>
      </c>
      <c r="S88" s="74">
        <v>4.7991518287115557E-3</v>
      </c>
      <c r="T88" s="74">
        <v>3.0676697787357181E-3</v>
      </c>
      <c r="U88" s="74">
        <v>3.2149007911792186E-3</v>
      </c>
      <c r="V88" s="74">
        <v>5.5175718032421696E-3</v>
      </c>
      <c r="W88" s="74">
        <v>2.3526840875857193E-3</v>
      </c>
      <c r="X88" s="74">
        <v>5.7523647948131201E-3</v>
      </c>
      <c r="Y88" s="74">
        <v>4.004934166617756E-3</v>
      </c>
      <c r="Z88" s="74">
        <v>2.2057020791780681E-3</v>
      </c>
      <c r="AA88" s="74">
        <v>2.9775193800906288E-3</v>
      </c>
      <c r="AB88" s="74">
        <v>-1.6184085540194744E-4</v>
      </c>
      <c r="AC88" s="74">
        <v>7.491848088856868E-4</v>
      </c>
      <c r="AD88" s="74">
        <v>4.7821349483524421E-3</v>
      </c>
      <c r="AE88" s="74">
        <v>7.0316409526989011E-3</v>
      </c>
      <c r="AF88" s="74">
        <v>8.0581707509700638E-3</v>
      </c>
      <c r="AG88" s="74">
        <v>2.1221845295995132E-3</v>
      </c>
      <c r="AH88" s="74">
        <v>3.3582524788241443E-3</v>
      </c>
      <c r="AI88" s="74">
        <v>2.243608289540015E-3</v>
      </c>
      <c r="AJ88" s="74">
        <v>-7.9488223049702371E-4</v>
      </c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</row>
    <row r="89" spans="1:48">
      <c r="A89" s="1" t="s">
        <v>72</v>
      </c>
      <c r="B89" s="74">
        <v>3.0457866463998741E-3</v>
      </c>
      <c r="C89" s="74">
        <v>3.1518561201999071E-3</v>
      </c>
      <c r="D89" s="74">
        <v>5.9041081590093328E-4</v>
      </c>
      <c r="E89" s="74">
        <v>2.9495163707115115E-4</v>
      </c>
      <c r="F89" s="74">
        <v>2.0324733170072984E-3</v>
      </c>
      <c r="G89" s="74">
        <v>1.5780999303015505E-3</v>
      </c>
      <c r="H89" s="74">
        <v>9.2093578886969071E-4</v>
      </c>
      <c r="I89" s="74">
        <v>-2.9693324888585581E-4</v>
      </c>
      <c r="J89" s="74">
        <v>1.3873078080668946E-3</v>
      </c>
      <c r="K89" s="74">
        <v>1.8609035013976592E-3</v>
      </c>
      <c r="L89" s="74">
        <v>3.0278714972941274E-3</v>
      </c>
      <c r="M89" s="74">
        <v>9.7383381778868661E-4</v>
      </c>
      <c r="N89" s="74">
        <v>3.086305259246695E-3</v>
      </c>
      <c r="O89" s="74">
        <v>5.5431463129476406E-4</v>
      </c>
      <c r="P89" s="74">
        <v>7.0565914497190327E-4</v>
      </c>
      <c r="Q89" s="74">
        <v>1.5121351702324533E-3</v>
      </c>
      <c r="R89" s="74">
        <v>1.3467334545517106E-3</v>
      </c>
      <c r="S89" s="74">
        <v>3.33314918852121E-3</v>
      </c>
      <c r="T89" s="74">
        <v>6.3069727003629256E-5</v>
      </c>
      <c r="U89" s="74">
        <v>1.1467856447721387E-3</v>
      </c>
      <c r="V89" s="74">
        <v>1.8259801422690839E-3</v>
      </c>
      <c r="W89" s="74">
        <v>1.6244395319801625E-3</v>
      </c>
      <c r="X89" s="74">
        <v>1.1096486945659256E-3</v>
      </c>
      <c r="Y89" s="74">
        <v>8.0804171112934444E-4</v>
      </c>
      <c r="Z89" s="74">
        <v>7.0919942445322754E-4</v>
      </c>
      <c r="AA89" s="74">
        <v>3.1080317980706302E-4</v>
      </c>
      <c r="AB89" s="74">
        <v>1.0136744578838244E-3</v>
      </c>
      <c r="AC89" s="74">
        <v>-6.5627112051183938E-6</v>
      </c>
      <c r="AD89" s="74">
        <v>1.921393294602844E-3</v>
      </c>
      <c r="AE89" s="74">
        <v>1.4116825120560944E-3</v>
      </c>
      <c r="AF89" s="74">
        <v>9.3516360262153094E-5</v>
      </c>
      <c r="AG89" s="74">
        <v>1.6481076058562263E-3</v>
      </c>
      <c r="AH89" s="74">
        <v>1.4607404908304315E-3</v>
      </c>
      <c r="AI89" s="74">
        <v>3.7783952755651983E-4</v>
      </c>
      <c r="AJ89" s="74">
        <v>1.8361225969033804E-4</v>
      </c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</row>
    <row r="90" spans="1:48">
      <c r="A90" s="1" t="s">
        <v>73</v>
      </c>
      <c r="B90" s="74">
        <v>7.4641391131578631E-3</v>
      </c>
      <c r="C90" s="74">
        <v>8.430878498118256E-3</v>
      </c>
      <c r="D90" s="74">
        <v>1.310565602234572E-3</v>
      </c>
      <c r="E90" s="74">
        <v>3.5770372354338337E-4</v>
      </c>
      <c r="F90" s="74">
        <v>3.9279707284599731E-3</v>
      </c>
      <c r="G90" s="74">
        <v>1.2069896367111613E-3</v>
      </c>
      <c r="H90" s="74">
        <v>4.2042282841072377E-3</v>
      </c>
      <c r="I90" s="74">
        <v>6.373818403546805E-4</v>
      </c>
      <c r="J90" s="74">
        <v>3.5762018513650854E-3</v>
      </c>
      <c r="K90" s="74">
        <v>3.3477719839161129E-3</v>
      </c>
      <c r="L90" s="74">
        <v>9.7383381778868661E-4</v>
      </c>
      <c r="M90" s="74">
        <v>4.7169931885103922E-3</v>
      </c>
      <c r="N90" s="74">
        <v>5.2343497279557826E-3</v>
      </c>
      <c r="O90" s="74">
        <v>-7.1741277176714396E-4</v>
      </c>
      <c r="P90" s="74">
        <v>4.1945054361974829E-3</v>
      </c>
      <c r="Q90" s="74">
        <v>1.8040674989369943E-3</v>
      </c>
      <c r="R90" s="74">
        <v>1.0146131422828662E-3</v>
      </c>
      <c r="S90" s="74">
        <v>6.0673833885795886E-3</v>
      </c>
      <c r="T90" s="74">
        <v>3.3631915465654745E-3</v>
      </c>
      <c r="U90" s="74">
        <v>3.1105945357352053E-3</v>
      </c>
      <c r="V90" s="74">
        <v>5.4240361204614248E-3</v>
      </c>
      <c r="W90" s="74">
        <v>1.6227781787413341E-3</v>
      </c>
      <c r="X90" s="74">
        <v>1.8276296258418628E-3</v>
      </c>
      <c r="Y90" s="74">
        <v>1.1682930276958909E-3</v>
      </c>
      <c r="Z90" s="74">
        <v>5.574809523317953E-4</v>
      </c>
      <c r="AA90" s="74">
        <v>3.080266922126092E-3</v>
      </c>
      <c r="AB90" s="74">
        <v>-5.9582270273074266E-5</v>
      </c>
      <c r="AC90" s="74">
        <v>-6.0413397056772696E-4</v>
      </c>
      <c r="AD90" s="74">
        <v>3.8151000109127135E-3</v>
      </c>
      <c r="AE90" s="74">
        <v>3.1093511017432716E-3</v>
      </c>
      <c r="AF90" s="74">
        <v>2.2624069127382012E-3</v>
      </c>
      <c r="AG90" s="74">
        <v>1.627570673139146E-3</v>
      </c>
      <c r="AH90" s="74">
        <v>7.633121717233537E-3</v>
      </c>
      <c r="AI90" s="74">
        <v>2.8964493579092102E-4</v>
      </c>
      <c r="AJ90" s="74">
        <v>3.4111505455201814E-4</v>
      </c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</row>
    <row r="91" spans="1:48">
      <c r="A91" s="1" t="s">
        <v>74</v>
      </c>
      <c r="B91" s="74">
        <v>1.4169014222817187E-2</v>
      </c>
      <c r="C91" s="74">
        <v>1.4269061285763857E-2</v>
      </c>
      <c r="D91" s="74">
        <v>3.2280107617151804E-3</v>
      </c>
      <c r="E91" s="74">
        <v>1.8427122081443174E-3</v>
      </c>
      <c r="F91" s="74">
        <v>8.3287014410901566E-3</v>
      </c>
      <c r="G91" s="74">
        <v>4.9289079100166382E-3</v>
      </c>
      <c r="H91" s="74">
        <v>3.6089548329184284E-3</v>
      </c>
      <c r="I91" s="74">
        <v>-1.3441570571821034E-3</v>
      </c>
      <c r="J91" s="74">
        <v>6.262365980123522E-3</v>
      </c>
      <c r="K91" s="74">
        <v>7.4136534244749171E-3</v>
      </c>
      <c r="L91" s="74">
        <v>3.086305259246695E-3</v>
      </c>
      <c r="M91" s="74">
        <v>5.2343497279557826E-3</v>
      </c>
      <c r="N91" s="74">
        <v>1.2650497034278342E-2</v>
      </c>
      <c r="O91" s="74">
        <v>-1.1174381046491491E-3</v>
      </c>
      <c r="P91" s="74">
        <v>8.5570966621691755E-3</v>
      </c>
      <c r="Q91" s="74">
        <v>3.0982927224154906E-3</v>
      </c>
      <c r="R91" s="74">
        <v>2.1026327808803943E-3</v>
      </c>
      <c r="S91" s="74">
        <v>9.8636619018662355E-3</v>
      </c>
      <c r="T91" s="74">
        <v>3.3891125216462328E-3</v>
      </c>
      <c r="U91" s="74">
        <v>3.9095892969178382E-3</v>
      </c>
      <c r="V91" s="74">
        <v>1.0352765679259244E-2</v>
      </c>
      <c r="W91" s="74">
        <v>3.5520978188803183E-3</v>
      </c>
      <c r="X91" s="74">
        <v>4.8314455781652433E-3</v>
      </c>
      <c r="Y91" s="74">
        <v>4.1614141088109225E-3</v>
      </c>
      <c r="Z91" s="74">
        <v>3.2042421319872002E-3</v>
      </c>
      <c r="AA91" s="74">
        <v>3.9443853808443334E-3</v>
      </c>
      <c r="AB91" s="74">
        <v>1.5193472598001574E-4</v>
      </c>
      <c r="AC91" s="74">
        <v>-1.3398037959918526E-3</v>
      </c>
      <c r="AD91" s="74">
        <v>7.9498156256767455E-3</v>
      </c>
      <c r="AE91" s="74">
        <v>8.4549402152905174E-3</v>
      </c>
      <c r="AF91" s="74">
        <v>7.8074607855403884E-3</v>
      </c>
      <c r="AG91" s="74">
        <v>4.424692508855947E-3</v>
      </c>
      <c r="AH91" s="74">
        <v>9.8346566921946512E-3</v>
      </c>
      <c r="AI91" s="74">
        <v>1.8185769814148269E-3</v>
      </c>
      <c r="AJ91" s="74">
        <v>3.4710138581961529E-4</v>
      </c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</row>
    <row r="92" spans="1:48">
      <c r="A92" s="1" t="s">
        <v>75</v>
      </c>
      <c r="B92" s="74">
        <v>-1.6560295995881897E-3</v>
      </c>
      <c r="C92" s="74">
        <v>-1.9556997945111248E-3</v>
      </c>
      <c r="D92" s="74">
        <v>2.8329806703602845E-4</v>
      </c>
      <c r="E92" s="74">
        <v>-5.3870685792569686E-4</v>
      </c>
      <c r="F92" s="74">
        <v>-1.563695335790869E-4</v>
      </c>
      <c r="G92" s="74">
        <v>-7.2269191581419859E-4</v>
      </c>
      <c r="H92" s="74">
        <v>-1.1757747406246479E-3</v>
      </c>
      <c r="I92" s="74">
        <v>-3.9568611517910298E-4</v>
      </c>
      <c r="J92" s="74">
        <v>-2.5404930273115948E-4</v>
      </c>
      <c r="K92" s="74">
        <v>-1.1059870969768767E-3</v>
      </c>
      <c r="L92" s="74">
        <v>5.5431463129476406E-4</v>
      </c>
      <c r="M92" s="74">
        <v>-7.1741277176714396E-4</v>
      </c>
      <c r="N92" s="74">
        <v>-1.1174381046491491E-3</v>
      </c>
      <c r="O92" s="74">
        <v>2.8961406311077079E-3</v>
      </c>
      <c r="P92" s="74">
        <v>-2.0452915360150078E-3</v>
      </c>
      <c r="Q92" s="74">
        <v>3.6930711213848999E-4</v>
      </c>
      <c r="R92" s="74">
        <v>4.7881407046949958E-4</v>
      </c>
      <c r="S92" s="74">
        <v>-1.4230496434713173E-3</v>
      </c>
      <c r="T92" s="74">
        <v>-1.2967972996515045E-3</v>
      </c>
      <c r="U92" s="74">
        <v>-8.6140541134379506E-5</v>
      </c>
      <c r="V92" s="74">
        <v>-1.057791454251746E-3</v>
      </c>
      <c r="W92" s="74">
        <v>7.2295439119002866E-4</v>
      </c>
      <c r="X92" s="74">
        <v>-1.7412048531281657E-3</v>
      </c>
      <c r="Y92" s="74">
        <v>-1.1047674605759109E-3</v>
      </c>
      <c r="Z92" s="74">
        <v>-6.9180726222126999E-4</v>
      </c>
      <c r="AA92" s="74">
        <v>-4.5838028024900052E-5</v>
      </c>
      <c r="AB92" s="74">
        <v>1.0289863978875425E-3</v>
      </c>
      <c r="AC92" s="74">
        <v>8.3475805700278003E-5</v>
      </c>
      <c r="AD92" s="74">
        <v>-7.3031744235451746E-4</v>
      </c>
      <c r="AE92" s="74">
        <v>-1.5181091111550295E-3</v>
      </c>
      <c r="AF92" s="74">
        <v>-7.6310472249561132E-4</v>
      </c>
      <c r="AG92" s="74">
        <v>-2.3936745570990429E-4</v>
      </c>
      <c r="AH92" s="74">
        <v>-2.3625358255246199E-4</v>
      </c>
      <c r="AI92" s="74">
        <v>-5.5152719960315964E-4</v>
      </c>
      <c r="AJ92" s="74">
        <v>9.0775760255160676E-5</v>
      </c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</row>
    <row r="93" spans="1:48">
      <c r="A93" s="1" t="s">
        <v>76</v>
      </c>
      <c r="B93" s="74">
        <v>1.0147353909561237E-2</v>
      </c>
      <c r="C93" s="74">
        <v>1.0888505695850814E-2</v>
      </c>
      <c r="D93" s="74">
        <v>3.0071834534258976E-3</v>
      </c>
      <c r="E93" s="74">
        <v>2.5435548332653317E-3</v>
      </c>
      <c r="F93" s="74">
        <v>8.2019862409774894E-3</v>
      </c>
      <c r="G93" s="74">
        <v>7.2588823624534192E-3</v>
      </c>
      <c r="H93" s="74">
        <v>1.9141762055639383E-3</v>
      </c>
      <c r="I93" s="74">
        <v>-1.063809247582231E-3</v>
      </c>
      <c r="J93" s="74">
        <v>1.9274131694757349E-3</v>
      </c>
      <c r="K93" s="74">
        <v>8.5398104435882669E-3</v>
      </c>
      <c r="L93" s="74">
        <v>7.0565914497190327E-4</v>
      </c>
      <c r="M93" s="74">
        <v>4.1945054361974829E-3</v>
      </c>
      <c r="N93" s="74">
        <v>8.5570966621691755E-3</v>
      </c>
      <c r="O93" s="74">
        <v>-2.0452915360150078E-3</v>
      </c>
      <c r="P93" s="74">
        <v>1.5475327138124981E-2</v>
      </c>
      <c r="Q93" s="74">
        <v>1.2601642801219955E-3</v>
      </c>
      <c r="R93" s="74">
        <v>2.9542167071739921E-3</v>
      </c>
      <c r="S93" s="74">
        <v>9.680189583215414E-3</v>
      </c>
      <c r="T93" s="74">
        <v>4.7244183859507169E-3</v>
      </c>
      <c r="U93" s="74">
        <v>8.170673106497841E-4</v>
      </c>
      <c r="V93" s="74">
        <v>9.9340966632854803E-3</v>
      </c>
      <c r="W93" s="74">
        <v>9.6537068018859003E-4</v>
      </c>
      <c r="X93" s="74">
        <v>7.7364282746131968E-3</v>
      </c>
      <c r="Y93" s="74">
        <v>4.4910874777975068E-3</v>
      </c>
      <c r="Z93" s="74">
        <v>2.2850649427615349E-3</v>
      </c>
      <c r="AA93" s="74">
        <v>4.9111089780141262E-3</v>
      </c>
      <c r="AB93" s="74">
        <v>-4.6288427123568815E-4</v>
      </c>
      <c r="AC93" s="74">
        <v>7.6880177816419492E-4</v>
      </c>
      <c r="AD93" s="74">
        <v>8.6983693615931279E-3</v>
      </c>
      <c r="AE93" s="74">
        <v>8.2455122486868801E-3</v>
      </c>
      <c r="AF93" s="74">
        <v>7.1282674673115399E-3</v>
      </c>
      <c r="AG93" s="74">
        <v>2.7881865058684966E-3</v>
      </c>
      <c r="AH93" s="74">
        <v>4.1670660905031081E-3</v>
      </c>
      <c r="AI93" s="74">
        <v>-4.4356320718853126E-4</v>
      </c>
      <c r="AJ93" s="74">
        <v>-4.4995754221458434E-4</v>
      </c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</row>
    <row r="94" spans="1:48">
      <c r="A94" s="1" t="s">
        <v>77</v>
      </c>
      <c r="B94" s="74">
        <v>3.5424890817108245E-3</v>
      </c>
      <c r="C94" s="74">
        <v>3.7831386021302186E-3</v>
      </c>
      <c r="D94" s="74">
        <v>1.0773910674499218E-3</v>
      </c>
      <c r="E94" s="74">
        <v>2.6656066557968755E-4</v>
      </c>
      <c r="F94" s="74">
        <v>1.6277759221826882E-3</v>
      </c>
      <c r="G94" s="74">
        <v>9.3901465096842343E-4</v>
      </c>
      <c r="H94" s="74">
        <v>1.5789080272816394E-3</v>
      </c>
      <c r="I94" s="74">
        <v>-1.6949331035085583E-4</v>
      </c>
      <c r="J94" s="74">
        <v>2.725937410165866E-3</v>
      </c>
      <c r="K94" s="74">
        <v>1.3145298634338887E-3</v>
      </c>
      <c r="L94" s="74">
        <v>1.5121351702324533E-3</v>
      </c>
      <c r="M94" s="74">
        <v>1.8040674989369943E-3</v>
      </c>
      <c r="N94" s="74">
        <v>3.0982927224154906E-3</v>
      </c>
      <c r="O94" s="74">
        <v>3.6930711213848999E-4</v>
      </c>
      <c r="P94" s="74">
        <v>1.2601642801219955E-3</v>
      </c>
      <c r="Q94" s="74">
        <v>2.256915916501795E-3</v>
      </c>
      <c r="R94" s="74">
        <v>7.2784776865824101E-4</v>
      </c>
      <c r="S94" s="74">
        <v>2.8556698113422628E-3</v>
      </c>
      <c r="T94" s="74">
        <v>1.1996445879386315E-3</v>
      </c>
      <c r="U94" s="74">
        <v>1.435817133425273E-3</v>
      </c>
      <c r="V94" s="74">
        <v>2.0143407390096203E-3</v>
      </c>
      <c r="W94" s="74">
        <v>1.8253679976698745E-3</v>
      </c>
      <c r="X94" s="74">
        <v>6.6488692221690338E-4</v>
      </c>
      <c r="Y94" s="74">
        <v>1.08710061572295E-3</v>
      </c>
      <c r="Z94" s="74">
        <v>-5.8776024071606675E-5</v>
      </c>
      <c r="AA94" s="74">
        <v>1.0990335965801899E-3</v>
      </c>
      <c r="AB94" s="74">
        <v>1.1044084740780559E-4</v>
      </c>
      <c r="AC94" s="74">
        <v>-3.5812569643822951E-4</v>
      </c>
      <c r="AD94" s="74">
        <v>1.7396501914315856E-3</v>
      </c>
      <c r="AE94" s="74">
        <v>1.390344909584334E-3</v>
      </c>
      <c r="AF94" s="74">
        <v>1.9124258885585045E-3</v>
      </c>
      <c r="AG94" s="74">
        <v>1.512413808867378E-3</v>
      </c>
      <c r="AH94" s="74">
        <v>4.1926383478383686E-3</v>
      </c>
      <c r="AI94" s="74">
        <v>7.1814323847051631E-4</v>
      </c>
      <c r="AJ94" s="74">
        <v>8.476067733897978E-5</v>
      </c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</row>
    <row r="95" spans="1:48">
      <c r="A95" s="1" t="s">
        <v>78</v>
      </c>
      <c r="B95" s="74">
        <v>1.795190206641325E-3</v>
      </c>
      <c r="C95" s="74">
        <v>4.1018685868219815E-3</v>
      </c>
      <c r="D95" s="74">
        <v>1.8352085896604705E-3</v>
      </c>
      <c r="E95" s="74">
        <v>1.3924335720168657E-3</v>
      </c>
      <c r="F95" s="74">
        <v>3.3595652779443547E-3</v>
      </c>
      <c r="G95" s="74">
        <v>1.3115756085724532E-3</v>
      </c>
      <c r="H95" s="74">
        <v>1.9239834260548472E-3</v>
      </c>
      <c r="I95" s="74">
        <v>1.0529941821205474E-3</v>
      </c>
      <c r="J95" s="74">
        <v>1.7378993591985325E-3</v>
      </c>
      <c r="K95" s="74">
        <v>2.9070559648864645E-3</v>
      </c>
      <c r="L95" s="74">
        <v>1.3467334545517106E-3</v>
      </c>
      <c r="M95" s="74">
        <v>1.0146131422828662E-3</v>
      </c>
      <c r="N95" s="74">
        <v>2.1026327808803943E-3</v>
      </c>
      <c r="O95" s="74">
        <v>4.7881407046949958E-4</v>
      </c>
      <c r="P95" s="74">
        <v>2.9542167071739921E-3</v>
      </c>
      <c r="Q95" s="74">
        <v>7.2784776865824101E-4</v>
      </c>
      <c r="R95" s="74">
        <v>7.6037901630097134E-3</v>
      </c>
      <c r="S95" s="74">
        <v>7.1670750607401622E-3</v>
      </c>
      <c r="T95" s="74">
        <v>2.1023352050760584E-3</v>
      </c>
      <c r="U95" s="74">
        <v>2.4620911616978773E-3</v>
      </c>
      <c r="V95" s="74">
        <v>3.2490715793137208E-3</v>
      </c>
      <c r="W95" s="74">
        <v>1.9544054294067027E-3</v>
      </c>
      <c r="X95" s="74">
        <v>2.3767146206853259E-3</v>
      </c>
      <c r="Y95" s="74">
        <v>1.9853104564019548E-4</v>
      </c>
      <c r="Z95" s="74">
        <v>7.764914870110757E-4</v>
      </c>
      <c r="AA95" s="74">
        <v>7.9869368770915368E-4</v>
      </c>
      <c r="AB95" s="74">
        <v>1.6434621321971992E-3</v>
      </c>
      <c r="AC95" s="74">
        <v>-2.613957925340109E-4</v>
      </c>
      <c r="AD95" s="74">
        <v>4.2329340161919209E-3</v>
      </c>
      <c r="AE95" s="74">
        <v>2.8886474481330002E-3</v>
      </c>
      <c r="AF95" s="74">
        <v>2.1605271910232265E-3</v>
      </c>
      <c r="AG95" s="74">
        <v>2.3289475045152929E-3</v>
      </c>
      <c r="AH95" s="74">
        <v>2.6882379992857978E-3</v>
      </c>
      <c r="AI95" s="74">
        <v>-1.3565181417649905E-3</v>
      </c>
      <c r="AJ95" s="74">
        <v>9.2475872132107126E-4</v>
      </c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</row>
    <row r="96" spans="1:48">
      <c r="A96" s="1" t="s">
        <v>79</v>
      </c>
      <c r="B96" s="74">
        <v>1.1731535206602653E-2</v>
      </c>
      <c r="C96" s="74">
        <v>1.8238590432853325E-2</v>
      </c>
      <c r="D96" s="74">
        <v>3.1335049375185008E-3</v>
      </c>
      <c r="E96" s="74">
        <v>2.0070806002151177E-3</v>
      </c>
      <c r="F96" s="74">
        <v>1.0533802276219625E-2</v>
      </c>
      <c r="G96" s="74">
        <v>6.7311840686696059E-3</v>
      </c>
      <c r="H96" s="74">
        <v>5.6980256469189895E-3</v>
      </c>
      <c r="I96" s="74">
        <v>-1.8565077411769198E-3</v>
      </c>
      <c r="J96" s="74">
        <v>4.9288338338354595E-3</v>
      </c>
      <c r="K96" s="74">
        <v>4.7991518287115557E-3</v>
      </c>
      <c r="L96" s="74">
        <v>3.33314918852121E-3</v>
      </c>
      <c r="M96" s="74">
        <v>6.0673833885795886E-3</v>
      </c>
      <c r="N96" s="74">
        <v>9.8636619018662355E-3</v>
      </c>
      <c r="O96" s="74">
        <v>-1.4230496434713173E-3</v>
      </c>
      <c r="P96" s="74">
        <v>9.680189583215414E-3</v>
      </c>
      <c r="Q96" s="74">
        <v>2.8556698113422628E-3</v>
      </c>
      <c r="R96" s="74">
        <v>7.1670750607401622E-3</v>
      </c>
      <c r="S96" s="74">
        <v>2.3190573180272109E-2</v>
      </c>
      <c r="T96" s="74">
        <v>3.8362865809109226E-3</v>
      </c>
      <c r="U96" s="74">
        <v>2.7878384759822024E-3</v>
      </c>
      <c r="V96" s="74">
        <v>1.3722360706262149E-2</v>
      </c>
      <c r="W96" s="74">
        <v>3.9453349546173305E-3</v>
      </c>
      <c r="X96" s="74">
        <v>6.4429302935185709E-3</v>
      </c>
      <c r="Y96" s="74">
        <v>4.2504938879619506E-3</v>
      </c>
      <c r="Z96" s="74">
        <v>4.229799466715198E-3</v>
      </c>
      <c r="AA96" s="74">
        <v>4.2955364834050555E-3</v>
      </c>
      <c r="AB96" s="74">
        <v>1.3692890076963411E-3</v>
      </c>
      <c r="AC96" s="74">
        <v>-8.1893682532790349E-4</v>
      </c>
      <c r="AD96" s="74">
        <v>1.352707202523197E-2</v>
      </c>
      <c r="AE96" s="74">
        <v>7.5753256773132653E-3</v>
      </c>
      <c r="AF96" s="74">
        <v>-1.3569398801337416E-3</v>
      </c>
      <c r="AG96" s="74">
        <v>5.5073325695581266E-3</v>
      </c>
      <c r="AH96" s="74">
        <v>1.0918655040936448E-2</v>
      </c>
      <c r="AI96" s="74">
        <v>-2.6014363335414496E-3</v>
      </c>
      <c r="AJ96" s="74">
        <v>1.1977748533176101E-3</v>
      </c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</row>
    <row r="97" spans="1:48">
      <c r="A97" s="1" t="s">
        <v>80</v>
      </c>
      <c r="B97" s="74">
        <v>6.0080154605409277E-3</v>
      </c>
      <c r="C97" s="74">
        <v>5.700571890647696E-3</v>
      </c>
      <c r="D97" s="74">
        <v>1.0123210074327387E-3</v>
      </c>
      <c r="E97" s="74">
        <v>-1.5954536426579416E-4</v>
      </c>
      <c r="F97" s="74">
        <v>4.1001898994658618E-3</v>
      </c>
      <c r="G97" s="74">
        <v>1.3481483089707554E-3</v>
      </c>
      <c r="H97" s="74">
        <v>3.8267908445169621E-3</v>
      </c>
      <c r="I97" s="74">
        <v>1.5881003036289293E-3</v>
      </c>
      <c r="J97" s="74">
        <v>2.9758477155514187E-3</v>
      </c>
      <c r="K97" s="74">
        <v>3.0676697787357181E-3</v>
      </c>
      <c r="L97" s="74">
        <v>6.3069727003629256E-5</v>
      </c>
      <c r="M97" s="74">
        <v>3.3631915465654745E-3</v>
      </c>
      <c r="N97" s="74">
        <v>3.3891125216462328E-3</v>
      </c>
      <c r="O97" s="74">
        <v>-1.2967972996515045E-3</v>
      </c>
      <c r="P97" s="74">
        <v>4.7244183859507169E-3</v>
      </c>
      <c r="Q97" s="74">
        <v>1.1996445879386315E-3</v>
      </c>
      <c r="R97" s="74">
        <v>2.1023352050760584E-3</v>
      </c>
      <c r="S97" s="74">
        <v>3.8362865809109226E-3</v>
      </c>
      <c r="T97" s="74">
        <v>6.132853992174659E-3</v>
      </c>
      <c r="U97" s="74">
        <v>2.3270573513751495E-3</v>
      </c>
      <c r="V97" s="74">
        <v>4.573793679084618E-3</v>
      </c>
      <c r="W97" s="74">
        <v>1.342721567303762E-3</v>
      </c>
      <c r="X97" s="74">
        <v>2.157786252599552E-3</v>
      </c>
      <c r="Y97" s="74">
        <v>2.9298677027561105E-4</v>
      </c>
      <c r="Z97" s="74">
        <v>4.7342488542335883E-4</v>
      </c>
      <c r="AA97" s="74">
        <v>2.6818897922573233E-3</v>
      </c>
      <c r="AB97" s="74">
        <v>-1.1717259454107488E-3</v>
      </c>
      <c r="AC97" s="74">
        <v>-3.6126005471390758E-4</v>
      </c>
      <c r="AD97" s="74">
        <v>3.7136951956286885E-3</v>
      </c>
      <c r="AE97" s="74">
        <v>2.7136482848980781E-3</v>
      </c>
      <c r="AF97" s="74">
        <v>3.9223797068995972E-3</v>
      </c>
      <c r="AG97" s="74">
        <v>1.4059648972710459E-3</v>
      </c>
      <c r="AH97" s="74">
        <v>5.8009078348712243E-3</v>
      </c>
      <c r="AI97" s="74">
        <v>3.4459451725396811E-4</v>
      </c>
      <c r="AJ97" s="74">
        <v>9.670872374301121E-5</v>
      </c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</row>
    <row r="98" spans="1:48">
      <c r="A98" s="1" t="s">
        <v>81</v>
      </c>
      <c r="B98" s="74">
        <v>7.6174837976656189E-3</v>
      </c>
      <c r="C98" s="74">
        <v>7.5097623557386639E-3</v>
      </c>
      <c r="D98" s="74">
        <v>1.3457029142094482E-3</v>
      </c>
      <c r="E98" s="74">
        <v>8.4304246254139463E-4</v>
      </c>
      <c r="F98" s="74">
        <v>2.4968296621352992E-3</v>
      </c>
      <c r="G98" s="74">
        <v>-8.1869506549690546E-4</v>
      </c>
      <c r="H98" s="74">
        <v>3.1821985471902937E-3</v>
      </c>
      <c r="I98" s="74">
        <v>8.9538394902021748E-4</v>
      </c>
      <c r="J98" s="74">
        <v>4.0235363005180066E-3</v>
      </c>
      <c r="K98" s="74">
        <v>3.2149007911792186E-3</v>
      </c>
      <c r="L98" s="74">
        <v>1.1467856447721387E-3</v>
      </c>
      <c r="M98" s="74">
        <v>3.1105945357352053E-3</v>
      </c>
      <c r="N98" s="74">
        <v>3.9095892969178382E-3</v>
      </c>
      <c r="O98" s="74">
        <v>-8.6140541134379506E-5</v>
      </c>
      <c r="P98" s="74">
        <v>8.170673106497841E-4</v>
      </c>
      <c r="Q98" s="74">
        <v>1.435817133425273E-3</v>
      </c>
      <c r="R98" s="74">
        <v>2.4620911616978773E-3</v>
      </c>
      <c r="S98" s="74">
        <v>2.7878384759822024E-3</v>
      </c>
      <c r="T98" s="74">
        <v>2.3270573513751495E-3</v>
      </c>
      <c r="U98" s="74">
        <v>5.6633281766600083E-3</v>
      </c>
      <c r="V98" s="74">
        <v>2.5943339027870017E-3</v>
      </c>
      <c r="W98" s="74">
        <v>1.2418429971395202E-3</v>
      </c>
      <c r="X98" s="74">
        <v>1.2702795113437124E-3</v>
      </c>
      <c r="Y98" s="74">
        <v>-4.1572071291020094E-4</v>
      </c>
      <c r="Z98" s="74">
        <v>3.6537812117892337E-4</v>
      </c>
      <c r="AA98" s="74">
        <v>9.4867715865986117E-4</v>
      </c>
      <c r="AB98" s="74">
        <v>7.0908592953201248E-5</v>
      </c>
      <c r="AC98" s="74">
        <v>-1.1281935815134023E-3</v>
      </c>
      <c r="AD98" s="74">
        <v>1.6674591331629054E-3</v>
      </c>
      <c r="AE98" s="74">
        <v>2.7326732963244677E-3</v>
      </c>
      <c r="AF98" s="74">
        <v>5.3634317320158395E-3</v>
      </c>
      <c r="AG98" s="74">
        <v>1.7335339996813791E-3</v>
      </c>
      <c r="AH98" s="74">
        <v>8.0060877664333441E-3</v>
      </c>
      <c r="AI98" s="74">
        <v>6.2564218455312055E-4</v>
      </c>
      <c r="AJ98" s="74">
        <v>2.5323995577048651E-4</v>
      </c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</row>
    <row r="99" spans="1:48">
      <c r="A99" s="1" t="s">
        <v>82</v>
      </c>
      <c r="B99" s="74">
        <v>1.5389374800931603E-2</v>
      </c>
      <c r="C99" s="74">
        <v>1.5321986726017285E-2</v>
      </c>
      <c r="D99" s="74">
        <v>3.0523126665087685E-3</v>
      </c>
      <c r="E99" s="74">
        <v>7.0461642574569025E-4</v>
      </c>
      <c r="F99" s="74">
        <v>1.1274755811096861E-2</v>
      </c>
      <c r="G99" s="74">
        <v>6.564141644866261E-3</v>
      </c>
      <c r="H99" s="74">
        <v>3.8757345972581861E-3</v>
      </c>
      <c r="I99" s="74">
        <v>-1.4805407029492932E-3</v>
      </c>
      <c r="J99" s="74">
        <v>3.4414264549606165E-3</v>
      </c>
      <c r="K99" s="74">
        <v>5.5175718032421696E-3</v>
      </c>
      <c r="L99" s="74">
        <v>1.8259801422690839E-3</v>
      </c>
      <c r="M99" s="74">
        <v>5.4240361204614248E-3</v>
      </c>
      <c r="N99" s="74">
        <v>1.0352765679259244E-2</v>
      </c>
      <c r="O99" s="74">
        <v>-1.057791454251746E-3</v>
      </c>
      <c r="P99" s="74">
        <v>9.9340966632854803E-3</v>
      </c>
      <c r="Q99" s="74">
        <v>2.0143407390096203E-3</v>
      </c>
      <c r="R99" s="74">
        <v>3.2490715793137208E-3</v>
      </c>
      <c r="S99" s="74">
        <v>1.3722360706262149E-2</v>
      </c>
      <c r="T99" s="74">
        <v>4.573793679084618E-3</v>
      </c>
      <c r="U99" s="74">
        <v>2.5943339027870017E-3</v>
      </c>
      <c r="V99" s="74">
        <v>1.4408405474018712E-2</v>
      </c>
      <c r="W99" s="74">
        <v>3.4541425879381343E-3</v>
      </c>
      <c r="X99" s="74">
        <v>5.0133454391324854E-3</v>
      </c>
      <c r="Y99" s="74">
        <v>3.4152955279791422E-3</v>
      </c>
      <c r="Z99" s="74">
        <v>3.636935671070882E-3</v>
      </c>
      <c r="AA99" s="74">
        <v>4.1522580969172284E-3</v>
      </c>
      <c r="AB99" s="74">
        <v>2.361255665447326E-4</v>
      </c>
      <c r="AC99" s="74">
        <v>-7.2206816201308272E-4</v>
      </c>
      <c r="AD99" s="74">
        <v>1.1880004218451526E-2</v>
      </c>
      <c r="AE99" s="74">
        <v>7.6566658838495864E-3</v>
      </c>
      <c r="AF99" s="74">
        <v>3.9516823224074659E-3</v>
      </c>
      <c r="AG99" s="74">
        <v>4.3713717283061209E-3</v>
      </c>
      <c r="AH99" s="74">
        <v>9.0902366559182674E-3</v>
      </c>
      <c r="AI99" s="74">
        <v>-1.4944505081287949E-3</v>
      </c>
      <c r="AJ99" s="74">
        <v>5.7062621761773185E-4</v>
      </c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</row>
    <row r="100" spans="1:48">
      <c r="A100" s="1" t="s">
        <v>83</v>
      </c>
      <c r="B100" s="74">
        <v>5.1589142736135291E-3</v>
      </c>
      <c r="C100" s="74">
        <v>4.2119999815041177E-3</v>
      </c>
      <c r="D100" s="74">
        <v>1.5892741519578557E-3</v>
      </c>
      <c r="E100" s="74">
        <v>8.3713877886019278E-4</v>
      </c>
      <c r="F100" s="74">
        <v>3.2027763558709487E-3</v>
      </c>
      <c r="G100" s="74">
        <v>1.9878305591848676E-3</v>
      </c>
      <c r="H100" s="74">
        <v>3.1468752511343017E-3</v>
      </c>
      <c r="I100" s="74">
        <v>5.6425792333937911E-4</v>
      </c>
      <c r="J100" s="74">
        <v>4.0757698297721016E-3</v>
      </c>
      <c r="K100" s="74">
        <v>2.3526840875857193E-3</v>
      </c>
      <c r="L100" s="74">
        <v>1.6244395319801625E-3</v>
      </c>
      <c r="M100" s="74">
        <v>1.6227781787413341E-3</v>
      </c>
      <c r="N100" s="74">
        <v>3.5520978188803183E-3</v>
      </c>
      <c r="O100" s="74">
        <v>7.2295439119002866E-4</v>
      </c>
      <c r="P100" s="74">
        <v>9.6537068018859003E-4</v>
      </c>
      <c r="Q100" s="74">
        <v>1.8253679976698745E-3</v>
      </c>
      <c r="R100" s="74">
        <v>1.9544054294067027E-3</v>
      </c>
      <c r="S100" s="74">
        <v>3.9453349546173305E-3</v>
      </c>
      <c r="T100" s="74">
        <v>1.342721567303762E-3</v>
      </c>
      <c r="U100" s="74">
        <v>1.2418429971395202E-3</v>
      </c>
      <c r="V100" s="74">
        <v>3.4541425879381343E-3</v>
      </c>
      <c r="W100" s="74">
        <v>6.705084469106907E-3</v>
      </c>
      <c r="X100" s="74">
        <v>9.8891087079192009E-4</v>
      </c>
      <c r="Y100" s="74">
        <v>1.724726048464938E-3</v>
      </c>
      <c r="Z100" s="74">
        <v>2.082478883747537E-3</v>
      </c>
      <c r="AA100" s="74">
        <v>7.3953303355862214E-4</v>
      </c>
      <c r="AB100" s="74">
        <v>6.0571396535119256E-4</v>
      </c>
      <c r="AC100" s="74">
        <v>6.3032147277982612E-4</v>
      </c>
      <c r="AD100" s="74">
        <v>3.988994809130523E-3</v>
      </c>
      <c r="AE100" s="74">
        <v>4.1780327715784686E-3</v>
      </c>
      <c r="AF100" s="74">
        <v>1.1099406928298395E-3</v>
      </c>
      <c r="AG100" s="74">
        <v>3.0038147305024507E-3</v>
      </c>
      <c r="AH100" s="74">
        <v>2.5153588410311684E-3</v>
      </c>
      <c r="AI100" s="74">
        <v>-3.7444495221985774E-4</v>
      </c>
      <c r="AJ100" s="74">
        <v>-5.1047183135181787E-4</v>
      </c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</row>
    <row r="101" spans="1:48">
      <c r="A101" s="1" t="s">
        <v>84</v>
      </c>
      <c r="B101" s="74">
        <v>7.553113815981536E-3</v>
      </c>
      <c r="C101" s="74">
        <v>8.4427142283769515E-3</v>
      </c>
      <c r="D101" s="74">
        <v>1.480611059796174E-3</v>
      </c>
      <c r="E101" s="74">
        <v>2.3319851995194526E-3</v>
      </c>
      <c r="F101" s="74">
        <v>3.8765842508664511E-3</v>
      </c>
      <c r="G101" s="74">
        <v>4.0199917498450043E-3</v>
      </c>
      <c r="H101" s="74">
        <v>2.0716354251206623E-3</v>
      </c>
      <c r="I101" s="74">
        <v>-8.8068353253876672E-4</v>
      </c>
      <c r="J101" s="74">
        <v>1.9975190224370879E-3</v>
      </c>
      <c r="K101" s="74">
        <v>5.7523647948131201E-3</v>
      </c>
      <c r="L101" s="74">
        <v>1.1096486945659256E-3</v>
      </c>
      <c r="M101" s="74">
        <v>1.8276296258418628E-3</v>
      </c>
      <c r="N101" s="74">
        <v>4.8314455781652433E-3</v>
      </c>
      <c r="O101" s="74">
        <v>-1.7412048531281657E-3</v>
      </c>
      <c r="P101" s="74">
        <v>7.7364282746131968E-3</v>
      </c>
      <c r="Q101" s="74">
        <v>6.6488692221690338E-4</v>
      </c>
      <c r="R101" s="74">
        <v>2.3767146206853259E-3</v>
      </c>
      <c r="S101" s="74">
        <v>6.4429302935185709E-3</v>
      </c>
      <c r="T101" s="74">
        <v>2.157786252599552E-3</v>
      </c>
      <c r="U101" s="74">
        <v>1.2702795113437124E-3</v>
      </c>
      <c r="V101" s="74">
        <v>5.0133454391324854E-3</v>
      </c>
      <c r="W101" s="74">
        <v>9.8891087079192009E-4</v>
      </c>
      <c r="X101" s="74">
        <v>7.0011730451236091E-3</v>
      </c>
      <c r="Y101" s="74">
        <v>3.1288820449015225E-3</v>
      </c>
      <c r="Z101" s="74">
        <v>2.8050128636304479E-3</v>
      </c>
      <c r="AA101" s="74">
        <v>1.9271440272311563E-3</v>
      </c>
      <c r="AB101" s="74">
        <v>5.0547193470951103E-4</v>
      </c>
      <c r="AC101" s="74">
        <v>1.4753229592374109E-3</v>
      </c>
      <c r="AD101" s="74">
        <v>5.7379516051001347E-3</v>
      </c>
      <c r="AE101" s="74">
        <v>5.6736332139761354E-3</v>
      </c>
      <c r="AF101" s="74">
        <v>5.1848920947170666E-3</v>
      </c>
      <c r="AG101" s="74">
        <v>1.6638825918435828E-3</v>
      </c>
      <c r="AH101" s="74">
        <v>3.0025244966198606E-3</v>
      </c>
      <c r="AI101" s="74">
        <v>-5.6934147380575232E-6</v>
      </c>
      <c r="AJ101" s="74">
        <v>-4.8357054743427262E-4</v>
      </c>
    </row>
    <row r="102" spans="1:48">
      <c r="A102" s="1" t="s">
        <v>85</v>
      </c>
      <c r="B102" s="74">
        <v>2.9964883762572873E-3</v>
      </c>
      <c r="C102" s="74">
        <v>4.5086062137944015E-3</v>
      </c>
      <c r="D102" s="74">
        <v>9.8800305762824689E-4</v>
      </c>
      <c r="E102" s="74">
        <v>1.2592905867311285E-3</v>
      </c>
      <c r="F102" s="74">
        <v>2.4413096326645835E-3</v>
      </c>
      <c r="G102" s="74">
        <v>2.7037739937887406E-3</v>
      </c>
      <c r="H102" s="74">
        <v>4.3805033249970875E-4</v>
      </c>
      <c r="I102" s="74">
        <v>2.5274660650664517E-5</v>
      </c>
      <c r="J102" s="74">
        <v>2.2954597572344727E-3</v>
      </c>
      <c r="K102" s="74">
        <v>4.004934166617756E-3</v>
      </c>
      <c r="L102" s="74">
        <v>8.0804171112934444E-4</v>
      </c>
      <c r="M102" s="74">
        <v>1.1682930276958909E-3</v>
      </c>
      <c r="N102" s="74">
        <v>4.1614141088109225E-3</v>
      </c>
      <c r="O102" s="74">
        <v>-1.1047674605759109E-3</v>
      </c>
      <c r="P102" s="74">
        <v>4.4910874777975068E-3</v>
      </c>
      <c r="Q102" s="74">
        <v>1.08710061572295E-3</v>
      </c>
      <c r="R102" s="74">
        <v>1.9853104564019548E-4</v>
      </c>
      <c r="S102" s="74">
        <v>4.2504938879619506E-3</v>
      </c>
      <c r="T102" s="74">
        <v>2.9298677027561105E-4</v>
      </c>
      <c r="U102" s="74">
        <v>-4.1572071291020094E-4</v>
      </c>
      <c r="V102" s="74">
        <v>3.4152955279791422E-3</v>
      </c>
      <c r="W102" s="74">
        <v>1.724726048464938E-3</v>
      </c>
      <c r="X102" s="74">
        <v>3.1288820449015225E-3</v>
      </c>
      <c r="Y102" s="74">
        <v>5.2619242412533726E-3</v>
      </c>
      <c r="Z102" s="74">
        <v>5.4186195240889321E-4</v>
      </c>
      <c r="AA102" s="74">
        <v>1.1335205064789842E-3</v>
      </c>
      <c r="AB102" s="74">
        <v>-3.8734153280823979E-5</v>
      </c>
      <c r="AC102" s="74">
        <v>5.8515823090249549E-4</v>
      </c>
      <c r="AD102" s="74">
        <v>2.7373267062374882E-3</v>
      </c>
      <c r="AE102" s="74">
        <v>2.9622430739926317E-3</v>
      </c>
      <c r="AF102" s="74">
        <v>3.6701605593074445E-3</v>
      </c>
      <c r="AG102" s="74">
        <v>1.5082717778863422E-3</v>
      </c>
      <c r="AH102" s="74">
        <v>-1.139586693555932E-3</v>
      </c>
      <c r="AI102" s="74">
        <v>6.5219395219672058E-4</v>
      </c>
      <c r="AJ102" s="74">
        <v>-6.1116789459202939E-4</v>
      </c>
    </row>
    <row r="103" spans="1:48">
      <c r="A103" s="1" t="s">
        <v>86</v>
      </c>
      <c r="B103" s="74">
        <v>4.1655330230627305E-3</v>
      </c>
      <c r="C103" s="74">
        <v>6.7817024884335641E-3</v>
      </c>
      <c r="D103" s="74">
        <v>5.8527224801497256E-4</v>
      </c>
      <c r="E103" s="74">
        <v>6.2373482645073882E-4</v>
      </c>
      <c r="F103" s="74">
        <v>3.2979735922807761E-3</v>
      </c>
      <c r="G103" s="74">
        <v>2.55014892788296E-3</v>
      </c>
      <c r="H103" s="74">
        <v>5.0694512987256351E-4</v>
      </c>
      <c r="I103" s="74">
        <v>-1.8972700403121318E-3</v>
      </c>
      <c r="J103" s="74">
        <v>1.3303119299537607E-3</v>
      </c>
      <c r="K103" s="74">
        <v>2.2057020791780681E-3</v>
      </c>
      <c r="L103" s="74">
        <v>7.0919942445322754E-4</v>
      </c>
      <c r="M103" s="74">
        <v>5.574809523317953E-4</v>
      </c>
      <c r="N103" s="74">
        <v>3.2042421319872002E-3</v>
      </c>
      <c r="O103" s="74">
        <v>-6.9180726222126999E-4</v>
      </c>
      <c r="P103" s="74">
        <v>2.2850649427615349E-3</v>
      </c>
      <c r="Q103" s="74">
        <v>-5.8776024071606675E-5</v>
      </c>
      <c r="R103" s="74">
        <v>7.764914870110757E-4</v>
      </c>
      <c r="S103" s="74">
        <v>4.229799466715198E-3</v>
      </c>
      <c r="T103" s="74">
        <v>4.7342488542335883E-4</v>
      </c>
      <c r="U103" s="74">
        <v>3.6537812117892337E-4</v>
      </c>
      <c r="V103" s="74">
        <v>3.636935671070882E-3</v>
      </c>
      <c r="W103" s="74">
        <v>2.082478883747537E-3</v>
      </c>
      <c r="X103" s="74">
        <v>2.8050128636304479E-3</v>
      </c>
      <c r="Y103" s="74">
        <v>5.4186195240889321E-4</v>
      </c>
      <c r="Z103" s="74">
        <v>6.974565555908592E-3</v>
      </c>
      <c r="AA103" s="74">
        <v>1.4981496971605973E-3</v>
      </c>
      <c r="AB103" s="74">
        <v>4.2082484656519201E-4</v>
      </c>
      <c r="AC103" s="74">
        <v>1.0157297569188676E-3</v>
      </c>
      <c r="AD103" s="74">
        <v>4.7706992968764312E-3</v>
      </c>
      <c r="AE103" s="74">
        <v>3.8606357404313181E-3</v>
      </c>
      <c r="AF103" s="74">
        <v>5.0458633754802643E-4</v>
      </c>
      <c r="AG103" s="74">
        <v>1.3564481557107207E-3</v>
      </c>
      <c r="AH103" s="74">
        <v>2.6481133979975899E-3</v>
      </c>
      <c r="AI103" s="74">
        <v>1.6135238918567039E-4</v>
      </c>
      <c r="AJ103" s="74">
        <v>1.1431946880711336E-4</v>
      </c>
    </row>
    <row r="104" spans="1:48">
      <c r="A104" s="1" t="s">
        <v>87</v>
      </c>
      <c r="B104" s="74">
        <v>2.5703274942822413E-3</v>
      </c>
      <c r="C104" s="74">
        <v>5.1048628175632159E-3</v>
      </c>
      <c r="D104" s="74">
        <v>1.4789302731983785E-3</v>
      </c>
      <c r="E104" s="74">
        <v>2.5222162913528457E-4</v>
      </c>
      <c r="F104" s="74">
        <v>3.1087617635906523E-3</v>
      </c>
      <c r="G104" s="74">
        <v>1.7341310944878425E-3</v>
      </c>
      <c r="H104" s="74">
        <v>1.696841355203992E-3</v>
      </c>
      <c r="I104" s="74">
        <v>-1.8903894247059523E-4</v>
      </c>
      <c r="J104" s="74">
        <v>2.4849504650871442E-3</v>
      </c>
      <c r="K104" s="74">
        <v>2.9775193800906288E-3</v>
      </c>
      <c r="L104" s="74">
        <v>3.1080317980706302E-4</v>
      </c>
      <c r="M104" s="74">
        <v>3.080266922126092E-3</v>
      </c>
      <c r="N104" s="74">
        <v>3.9443853808443334E-3</v>
      </c>
      <c r="O104" s="74">
        <v>-4.5838028024900052E-5</v>
      </c>
      <c r="P104" s="74">
        <v>4.9111089780141262E-3</v>
      </c>
      <c r="Q104" s="74">
        <v>1.0990335965801899E-3</v>
      </c>
      <c r="R104" s="74">
        <v>7.9869368770915368E-4</v>
      </c>
      <c r="S104" s="74">
        <v>4.2955364834050555E-3</v>
      </c>
      <c r="T104" s="74">
        <v>2.6818897922573233E-3</v>
      </c>
      <c r="U104" s="74">
        <v>9.4867715865986117E-4</v>
      </c>
      <c r="V104" s="74">
        <v>4.1522580969172284E-3</v>
      </c>
      <c r="W104" s="74">
        <v>7.3953303355862214E-4</v>
      </c>
      <c r="X104" s="74">
        <v>1.9271440272311563E-3</v>
      </c>
      <c r="Y104" s="74">
        <v>1.1335205064789842E-3</v>
      </c>
      <c r="Z104" s="74">
        <v>1.4981496971605973E-3</v>
      </c>
      <c r="AA104" s="74">
        <v>5.0737648687377308E-3</v>
      </c>
      <c r="AB104" s="74">
        <v>1.7261924694720034E-4</v>
      </c>
      <c r="AC104" s="74">
        <v>4.071075921911617E-4</v>
      </c>
      <c r="AD104" s="74">
        <v>3.255121692907799E-3</v>
      </c>
      <c r="AE104" s="74">
        <v>1.799776397237774E-3</v>
      </c>
      <c r="AF104" s="74">
        <v>1.3050765074866663E-3</v>
      </c>
      <c r="AG104" s="74">
        <v>6.7339239605125817E-4</v>
      </c>
      <c r="AH104" s="74">
        <v>4.4378698508254653E-3</v>
      </c>
      <c r="AI104" s="74">
        <v>1.3554838765073532E-3</v>
      </c>
      <c r="AJ104" s="74">
        <v>5.1747040636908965E-4</v>
      </c>
    </row>
    <row r="105" spans="1:48">
      <c r="A105" s="1" t="s">
        <v>88</v>
      </c>
      <c r="B105" s="74">
        <v>-9.5325793686277963E-4</v>
      </c>
      <c r="C105" s="74">
        <v>6.6168739082501666E-4</v>
      </c>
      <c r="D105" s="74">
        <v>4.665298422813094E-4</v>
      </c>
      <c r="E105" s="74">
        <v>7.5697764174932885E-4</v>
      </c>
      <c r="F105" s="74">
        <v>2.3760247416055994E-4</v>
      </c>
      <c r="G105" s="74">
        <v>5.5864838681963774E-5</v>
      </c>
      <c r="H105" s="74">
        <v>-2.5283235386882864E-4</v>
      </c>
      <c r="I105" s="74">
        <v>-3.9907524864650539E-4</v>
      </c>
      <c r="J105" s="74">
        <v>-2.8480691797636107E-4</v>
      </c>
      <c r="K105" s="74">
        <v>-1.6184085540194744E-4</v>
      </c>
      <c r="L105" s="74">
        <v>1.0136744578838244E-3</v>
      </c>
      <c r="M105" s="74">
        <v>-5.9582270273074266E-5</v>
      </c>
      <c r="N105" s="74">
        <v>1.5193472598001574E-4</v>
      </c>
      <c r="O105" s="74">
        <v>1.0289863978875425E-3</v>
      </c>
      <c r="P105" s="74">
        <v>-4.6288427123568815E-4</v>
      </c>
      <c r="Q105" s="74">
        <v>1.1044084740780559E-4</v>
      </c>
      <c r="R105" s="74">
        <v>1.6434621321971992E-3</v>
      </c>
      <c r="S105" s="74">
        <v>1.3692890076963411E-3</v>
      </c>
      <c r="T105" s="74">
        <v>-1.1717259454107488E-3</v>
      </c>
      <c r="U105" s="74">
        <v>7.0908592953201248E-5</v>
      </c>
      <c r="V105" s="74">
        <v>2.361255665447326E-4</v>
      </c>
      <c r="W105" s="74">
        <v>6.0571396535119256E-4</v>
      </c>
      <c r="X105" s="74">
        <v>5.0547193470951103E-4</v>
      </c>
      <c r="Y105" s="74">
        <v>-3.8734153280823979E-5</v>
      </c>
      <c r="Z105" s="74">
        <v>4.2082484656519201E-4</v>
      </c>
      <c r="AA105" s="74">
        <v>1.7261924694720034E-4</v>
      </c>
      <c r="AB105" s="74">
        <v>2.1701562647009217E-3</v>
      </c>
      <c r="AC105" s="74">
        <v>2.2779990892013956E-4</v>
      </c>
      <c r="AD105" s="74">
        <v>8.1607440648453035E-4</v>
      </c>
      <c r="AE105" s="74">
        <v>9.7467875341599342E-5</v>
      </c>
      <c r="AF105" s="74">
        <v>-5.7101466124374943E-4</v>
      </c>
      <c r="AG105" s="74">
        <v>2.9580151941343619E-4</v>
      </c>
      <c r="AH105" s="74">
        <v>-5.3356683085265975E-4</v>
      </c>
      <c r="AI105" s="74">
        <v>-5.6088319301601764E-4</v>
      </c>
      <c r="AJ105" s="74">
        <v>4.2715662196260359E-4</v>
      </c>
    </row>
    <row r="106" spans="1:48">
      <c r="A106" s="1" t="s">
        <v>89</v>
      </c>
      <c r="B106" s="74">
        <v>2.8865263063413245E-4</v>
      </c>
      <c r="C106" s="74">
        <v>-1.6888928941561924E-3</v>
      </c>
      <c r="D106" s="74">
        <v>-4.1346035111305973E-4</v>
      </c>
      <c r="E106" s="74">
        <v>1.1921120255306897E-4</v>
      </c>
      <c r="F106" s="74">
        <v>-1.1578338785130126E-3</v>
      </c>
      <c r="G106" s="74">
        <v>8.3228863405805577E-4</v>
      </c>
      <c r="H106" s="74">
        <v>7.6654387669096403E-4</v>
      </c>
      <c r="I106" s="74">
        <v>4.9340297762752894E-4</v>
      </c>
      <c r="J106" s="74">
        <v>-7.4416281722211499E-4</v>
      </c>
      <c r="K106" s="74">
        <v>7.491848088856868E-4</v>
      </c>
      <c r="L106" s="74">
        <v>-6.5627112051183938E-6</v>
      </c>
      <c r="M106" s="74">
        <v>-6.0413397056772696E-4</v>
      </c>
      <c r="N106" s="74">
        <v>-1.3398037959918526E-3</v>
      </c>
      <c r="O106" s="74">
        <v>8.3475805700278003E-5</v>
      </c>
      <c r="P106" s="74">
        <v>7.6880177816419492E-4</v>
      </c>
      <c r="Q106" s="74">
        <v>-3.5812569643822951E-4</v>
      </c>
      <c r="R106" s="74">
        <v>-2.613957925340109E-4</v>
      </c>
      <c r="S106" s="74">
        <v>-8.1893682532790349E-4</v>
      </c>
      <c r="T106" s="74">
        <v>-3.6126005471390758E-4</v>
      </c>
      <c r="U106" s="74">
        <v>-1.1281935815134023E-3</v>
      </c>
      <c r="V106" s="74">
        <v>-7.2206816201308272E-4</v>
      </c>
      <c r="W106" s="74">
        <v>6.3032147277982612E-4</v>
      </c>
      <c r="X106" s="74">
        <v>1.4753229592374109E-3</v>
      </c>
      <c r="Y106" s="74">
        <v>5.8515823090249549E-4</v>
      </c>
      <c r="Z106" s="74">
        <v>1.0157297569188676E-3</v>
      </c>
      <c r="AA106" s="74">
        <v>4.071075921911617E-4</v>
      </c>
      <c r="AB106" s="74">
        <v>2.2779990892013956E-4</v>
      </c>
      <c r="AC106" s="74">
        <v>3.2252657085733746E-3</v>
      </c>
      <c r="AD106" s="74">
        <v>4.9768297248627906E-4</v>
      </c>
      <c r="AE106" s="74">
        <v>-1.9671275855796065E-4</v>
      </c>
      <c r="AF106" s="74">
        <v>1.0211292087863526E-4</v>
      </c>
      <c r="AG106" s="74">
        <v>-8.106429485213205E-4</v>
      </c>
      <c r="AH106" s="74">
        <v>-2.3947092759323179E-3</v>
      </c>
      <c r="AI106" s="74">
        <v>-1.1504189822015654E-3</v>
      </c>
      <c r="AJ106" s="74">
        <v>-3.8935670076516442E-4</v>
      </c>
    </row>
    <row r="107" spans="1:48">
      <c r="A107" s="1" t="s">
        <v>90</v>
      </c>
      <c r="B107" s="74">
        <v>1.2747071203157984E-2</v>
      </c>
      <c r="C107" s="74">
        <v>1.3522051500993261E-2</v>
      </c>
      <c r="D107" s="74">
        <v>3.265306813877896E-3</v>
      </c>
      <c r="E107" s="74">
        <v>1.1218912619834352E-3</v>
      </c>
      <c r="F107" s="74">
        <v>9.9330915801082772E-3</v>
      </c>
      <c r="G107" s="74">
        <v>6.3549119209140538E-3</v>
      </c>
      <c r="H107" s="74">
        <v>3.3576679719190057E-3</v>
      </c>
      <c r="I107" s="74">
        <v>-1.9980323485395165E-3</v>
      </c>
      <c r="J107" s="74">
        <v>3.5318239916359642E-3</v>
      </c>
      <c r="K107" s="74">
        <v>4.7821349483524421E-3</v>
      </c>
      <c r="L107" s="74">
        <v>1.921393294602844E-3</v>
      </c>
      <c r="M107" s="74">
        <v>3.8151000109127135E-3</v>
      </c>
      <c r="N107" s="74">
        <v>7.9498156256767455E-3</v>
      </c>
      <c r="O107" s="74">
        <v>-7.3031744235451746E-4</v>
      </c>
      <c r="P107" s="74">
        <v>8.6983693615931279E-3</v>
      </c>
      <c r="Q107" s="74">
        <v>1.7396501914315856E-3</v>
      </c>
      <c r="R107" s="74">
        <v>4.2329340161919209E-3</v>
      </c>
      <c r="S107" s="74">
        <v>1.352707202523197E-2</v>
      </c>
      <c r="T107" s="74">
        <v>3.7136951956286885E-3</v>
      </c>
      <c r="U107" s="74">
        <v>1.6674591331629054E-3</v>
      </c>
      <c r="V107" s="74">
        <v>1.1880004218451526E-2</v>
      </c>
      <c r="W107" s="74">
        <v>3.988994809130523E-3</v>
      </c>
      <c r="X107" s="74">
        <v>5.7379516051001347E-3</v>
      </c>
      <c r="Y107" s="74">
        <v>2.7373267062374882E-3</v>
      </c>
      <c r="Z107" s="74">
        <v>4.7706992968764312E-3</v>
      </c>
      <c r="AA107" s="74">
        <v>3.255121692907799E-3</v>
      </c>
      <c r="AB107" s="74">
        <v>8.1607440648453035E-4</v>
      </c>
      <c r="AC107" s="74">
        <v>4.9768297248627906E-4</v>
      </c>
      <c r="AD107" s="74">
        <v>1.2166155986436921E-2</v>
      </c>
      <c r="AE107" s="74">
        <v>7.6107248510659774E-3</v>
      </c>
      <c r="AF107" s="74">
        <v>2.3902659514107769E-3</v>
      </c>
      <c r="AG107" s="74">
        <v>3.9254379963795929E-3</v>
      </c>
      <c r="AH107" s="74">
        <v>7.4497971423268085E-3</v>
      </c>
      <c r="AI107" s="74">
        <v>-2.1067304011626593E-3</v>
      </c>
      <c r="AJ107" s="74">
        <v>5.5900678568636885E-4</v>
      </c>
    </row>
    <row r="108" spans="1:48">
      <c r="A108" s="1" t="s">
        <v>91</v>
      </c>
      <c r="B108" s="74">
        <v>1.1498655985868802E-2</v>
      </c>
      <c r="C108" s="74">
        <v>1.0818718408520188E-2</v>
      </c>
      <c r="D108" s="74">
        <v>3.1537435683902187E-3</v>
      </c>
      <c r="E108" s="74">
        <v>2.4717691547170837E-3</v>
      </c>
      <c r="F108" s="74">
        <v>6.9590965621753728E-3</v>
      </c>
      <c r="G108" s="74">
        <v>4.1744429874212502E-3</v>
      </c>
      <c r="H108" s="74">
        <v>3.5197009478106951E-3</v>
      </c>
      <c r="I108" s="74">
        <v>-9.8853024961940224E-4</v>
      </c>
      <c r="J108" s="74">
        <v>4.471429869646216E-3</v>
      </c>
      <c r="K108" s="74">
        <v>7.0316409526989011E-3</v>
      </c>
      <c r="L108" s="74">
        <v>1.4116825120560944E-3</v>
      </c>
      <c r="M108" s="74">
        <v>3.1093511017432716E-3</v>
      </c>
      <c r="N108" s="74">
        <v>8.4549402152905174E-3</v>
      </c>
      <c r="O108" s="74">
        <v>-1.5181091111550295E-3</v>
      </c>
      <c r="P108" s="74">
        <v>8.2455122486868801E-3</v>
      </c>
      <c r="Q108" s="74">
        <v>1.390344909584334E-3</v>
      </c>
      <c r="R108" s="74">
        <v>2.8886474481330002E-3</v>
      </c>
      <c r="S108" s="74">
        <v>7.5753256773132653E-3</v>
      </c>
      <c r="T108" s="74">
        <v>2.7136482848980781E-3</v>
      </c>
      <c r="U108" s="74">
        <v>2.7326732963244677E-3</v>
      </c>
      <c r="V108" s="74">
        <v>7.6566658838495864E-3</v>
      </c>
      <c r="W108" s="74">
        <v>4.1780327715784686E-3</v>
      </c>
      <c r="X108" s="74">
        <v>5.6736332139761354E-3</v>
      </c>
      <c r="Y108" s="74">
        <v>2.9622430739926317E-3</v>
      </c>
      <c r="Z108" s="74">
        <v>3.8606357404313181E-3</v>
      </c>
      <c r="AA108" s="74">
        <v>1.799776397237774E-3</v>
      </c>
      <c r="AB108" s="74">
        <v>9.7467875341599342E-5</v>
      </c>
      <c r="AC108" s="74">
        <v>-1.9671275855796065E-4</v>
      </c>
      <c r="AD108" s="74">
        <v>7.6107248510659774E-3</v>
      </c>
      <c r="AE108" s="74">
        <v>9.7167867717085736E-3</v>
      </c>
      <c r="AF108" s="74">
        <v>7.7167753896660021E-3</v>
      </c>
      <c r="AG108" s="74">
        <v>3.7780465828828147E-3</v>
      </c>
      <c r="AH108" s="74">
        <v>5.6129544147530026E-3</v>
      </c>
      <c r="AI108" s="74">
        <v>4.2021137710494794E-4</v>
      </c>
      <c r="AJ108" s="74">
        <v>-6.2628069608022623E-4</v>
      </c>
    </row>
    <row r="109" spans="1:48">
      <c r="A109" s="1" t="s">
        <v>92</v>
      </c>
      <c r="B109" s="74">
        <v>1.1639798012479637E-2</v>
      </c>
      <c r="C109" s="74">
        <v>7.6602904566884268E-3</v>
      </c>
      <c r="D109" s="74">
        <v>2.4950531384369153E-3</v>
      </c>
      <c r="E109" s="74">
        <v>2.8430212623312065E-3</v>
      </c>
      <c r="F109" s="74">
        <v>3.9666049051708561E-3</v>
      </c>
      <c r="G109" s="74">
        <v>-1.6921049339085426E-4</v>
      </c>
      <c r="H109" s="74">
        <v>2.2334477688289852E-3</v>
      </c>
      <c r="I109" s="74">
        <v>1.2756869060862942E-3</v>
      </c>
      <c r="J109" s="74">
        <v>5.4049703533757612E-3</v>
      </c>
      <c r="K109" s="74">
        <v>8.0581707509700638E-3</v>
      </c>
      <c r="L109" s="74">
        <v>9.3516360262153094E-5</v>
      </c>
      <c r="M109" s="74">
        <v>2.2624069127382012E-3</v>
      </c>
      <c r="N109" s="74">
        <v>7.8074607855403884E-3</v>
      </c>
      <c r="O109" s="74">
        <v>-7.6310472249561132E-4</v>
      </c>
      <c r="P109" s="74">
        <v>7.1282674673115399E-3</v>
      </c>
      <c r="Q109" s="74">
        <v>1.9124258885585045E-3</v>
      </c>
      <c r="R109" s="74">
        <v>2.1605271910232265E-3</v>
      </c>
      <c r="S109" s="74">
        <v>-1.3569398801337416E-3</v>
      </c>
      <c r="T109" s="74">
        <v>3.9223797068995972E-3</v>
      </c>
      <c r="U109" s="74">
        <v>5.3634317320158395E-3</v>
      </c>
      <c r="V109" s="74">
        <v>3.9516823224074659E-3</v>
      </c>
      <c r="W109" s="74">
        <v>1.1099406928298395E-3</v>
      </c>
      <c r="X109" s="74">
        <v>5.1848920947170666E-3</v>
      </c>
      <c r="Y109" s="74">
        <v>3.6701605593074445E-3</v>
      </c>
      <c r="Z109" s="74">
        <v>5.0458633754802643E-4</v>
      </c>
      <c r="AA109" s="74">
        <v>1.3050765074866663E-3</v>
      </c>
      <c r="AB109" s="74">
        <v>-5.7101466124374943E-4</v>
      </c>
      <c r="AC109" s="74">
        <v>1.0211292087863526E-4</v>
      </c>
      <c r="AD109" s="74">
        <v>2.3902659514107769E-3</v>
      </c>
      <c r="AE109" s="74">
        <v>7.7167753896660021E-3</v>
      </c>
      <c r="AF109" s="74">
        <v>2.4275510236457371E-2</v>
      </c>
      <c r="AG109" s="74">
        <v>2.566999064098434E-3</v>
      </c>
      <c r="AH109" s="74">
        <v>4.25940697071039E-3</v>
      </c>
      <c r="AI109" s="74">
        <v>2.2149782096512966E-3</v>
      </c>
      <c r="AJ109" s="74">
        <v>-1.7956311295046206E-3</v>
      </c>
    </row>
    <row r="110" spans="1:48">
      <c r="A110" s="1" t="s">
        <v>93</v>
      </c>
      <c r="B110" s="74">
        <v>5.2964265847365161E-3</v>
      </c>
      <c r="C110" s="74">
        <v>5.6706782859071367E-3</v>
      </c>
      <c r="D110" s="74">
        <v>1.5112992952528196E-3</v>
      </c>
      <c r="E110" s="74">
        <v>1.0967226865769184E-3</v>
      </c>
      <c r="F110" s="74">
        <v>3.9512844055797228E-3</v>
      </c>
      <c r="G110" s="74">
        <v>2.3258633567147429E-3</v>
      </c>
      <c r="H110" s="74">
        <v>1.5849248642197937E-3</v>
      </c>
      <c r="I110" s="74">
        <v>-4.9555096976390013E-4</v>
      </c>
      <c r="J110" s="74">
        <v>2.5269351929227877E-3</v>
      </c>
      <c r="K110" s="74">
        <v>2.1221845295995132E-3</v>
      </c>
      <c r="L110" s="74">
        <v>1.6481076058562263E-3</v>
      </c>
      <c r="M110" s="74">
        <v>1.627570673139146E-3</v>
      </c>
      <c r="N110" s="74">
        <v>4.424692508855947E-3</v>
      </c>
      <c r="O110" s="74">
        <v>-2.3936745570990429E-4</v>
      </c>
      <c r="P110" s="74">
        <v>2.7881865058684966E-3</v>
      </c>
      <c r="Q110" s="74">
        <v>1.512413808867378E-3</v>
      </c>
      <c r="R110" s="74">
        <v>2.3289475045152929E-3</v>
      </c>
      <c r="S110" s="74">
        <v>5.5073325695581266E-3</v>
      </c>
      <c r="T110" s="74">
        <v>1.4059648972710459E-3</v>
      </c>
      <c r="U110" s="74">
        <v>1.7335339996813791E-3</v>
      </c>
      <c r="V110" s="74">
        <v>4.3713717283061209E-3</v>
      </c>
      <c r="W110" s="74">
        <v>3.0038147305024507E-3</v>
      </c>
      <c r="X110" s="74">
        <v>1.6638825918435828E-3</v>
      </c>
      <c r="Y110" s="74">
        <v>1.5082717778863422E-3</v>
      </c>
      <c r="Z110" s="74">
        <v>1.3564481557107207E-3</v>
      </c>
      <c r="AA110" s="74">
        <v>6.7339239605125817E-4</v>
      </c>
      <c r="AB110" s="74">
        <v>2.9580151941343619E-4</v>
      </c>
      <c r="AC110" s="74">
        <v>-8.106429485213205E-4</v>
      </c>
      <c r="AD110" s="74">
        <v>3.9254379963795929E-3</v>
      </c>
      <c r="AE110" s="74">
        <v>3.7780465828828147E-3</v>
      </c>
      <c r="AF110" s="74">
        <v>2.566999064098434E-3</v>
      </c>
      <c r="AG110" s="74">
        <v>2.9723651413988664E-3</v>
      </c>
      <c r="AH110" s="74">
        <v>3.3344110268308303E-3</v>
      </c>
      <c r="AI110" s="74">
        <v>-1.4578414811456238E-4</v>
      </c>
      <c r="AJ110" s="74">
        <v>-1.3291455909841563E-4</v>
      </c>
    </row>
    <row r="111" spans="1:48">
      <c r="A111" s="1" t="s">
        <v>94</v>
      </c>
      <c r="B111" s="74">
        <v>1.7328177573425304E-2</v>
      </c>
      <c r="C111" s="74">
        <v>1.8313169659267662E-2</v>
      </c>
      <c r="D111" s="74">
        <v>2.9565030828157808E-3</v>
      </c>
      <c r="E111" s="74">
        <v>9.4026757001525066E-4</v>
      </c>
      <c r="F111" s="74">
        <v>6.2636365965250511E-3</v>
      </c>
      <c r="G111" s="74">
        <v>1.5783636518471617E-3</v>
      </c>
      <c r="H111" s="74">
        <v>6.9406323306533879E-3</v>
      </c>
      <c r="I111" s="74">
        <v>-1.857920950473954E-3</v>
      </c>
      <c r="J111" s="74">
        <v>8.941375744304883E-3</v>
      </c>
      <c r="K111" s="74">
        <v>3.3582524788241443E-3</v>
      </c>
      <c r="L111" s="74">
        <v>1.4607404908304315E-3</v>
      </c>
      <c r="M111" s="74">
        <v>7.633121717233537E-3</v>
      </c>
      <c r="N111" s="74">
        <v>9.8346566921946512E-3</v>
      </c>
      <c r="O111" s="74">
        <v>-2.3625358255246199E-4</v>
      </c>
      <c r="P111" s="74">
        <v>4.1670660905031081E-3</v>
      </c>
      <c r="Q111" s="74">
        <v>4.1926383478383686E-3</v>
      </c>
      <c r="R111" s="74">
        <v>2.6882379992857978E-3</v>
      </c>
      <c r="S111" s="74">
        <v>1.0918655040936448E-2</v>
      </c>
      <c r="T111" s="74">
        <v>5.8009078348712243E-3</v>
      </c>
      <c r="U111" s="74">
        <v>8.0060877664333441E-3</v>
      </c>
      <c r="V111" s="74">
        <v>9.0902366559182674E-3</v>
      </c>
      <c r="W111" s="74">
        <v>2.5153588410311684E-3</v>
      </c>
      <c r="X111" s="74">
        <v>3.0025244966198606E-3</v>
      </c>
      <c r="Y111" s="74">
        <v>-1.139586693555932E-3</v>
      </c>
      <c r="Z111" s="74">
        <v>2.6481133979975899E-3</v>
      </c>
      <c r="AA111" s="74">
        <v>4.4378698508254653E-3</v>
      </c>
      <c r="AB111" s="74">
        <v>-5.3356683085265975E-4</v>
      </c>
      <c r="AC111" s="74">
        <v>-2.3947092759323179E-3</v>
      </c>
      <c r="AD111" s="74">
        <v>7.4497971423268085E-3</v>
      </c>
      <c r="AE111" s="74">
        <v>5.6129544147530026E-3</v>
      </c>
      <c r="AF111" s="74">
        <v>4.25940697071039E-3</v>
      </c>
      <c r="AG111" s="74">
        <v>3.3344110268308303E-3</v>
      </c>
      <c r="AH111" s="74">
        <v>2.3135019403926316E-2</v>
      </c>
      <c r="AI111" s="74">
        <v>4.1346953094687384E-4</v>
      </c>
      <c r="AJ111" s="74">
        <v>1.1540737676707629E-3</v>
      </c>
    </row>
    <row r="112" spans="1:48">
      <c r="A112" s="1" t="s">
        <v>95</v>
      </c>
      <c r="B112" s="74">
        <v>-2.2291256034080052E-3</v>
      </c>
      <c r="C112" s="74">
        <v>-2.2091320121295078E-4</v>
      </c>
      <c r="D112" s="74">
        <v>2.9811143735760509E-4</v>
      </c>
      <c r="E112" s="74">
        <v>-2.3736402153810108E-4</v>
      </c>
      <c r="F112" s="74">
        <v>-5.2678375784665193E-4</v>
      </c>
      <c r="G112" s="74">
        <v>-1.6500556545670892E-3</v>
      </c>
      <c r="H112" s="74">
        <v>-9.1120010625259673E-5</v>
      </c>
      <c r="I112" s="74">
        <v>3.3410462225046469E-4</v>
      </c>
      <c r="J112" s="74">
        <v>1.82716029893475E-3</v>
      </c>
      <c r="K112" s="74">
        <v>2.243608289540015E-3</v>
      </c>
      <c r="L112" s="74">
        <v>3.7783952755651983E-4</v>
      </c>
      <c r="M112" s="74">
        <v>2.8964493579092102E-4</v>
      </c>
      <c r="N112" s="74">
        <v>1.8185769814148269E-3</v>
      </c>
      <c r="O112" s="74">
        <v>-5.5152719960315964E-4</v>
      </c>
      <c r="P112" s="74">
        <v>-4.4356320718853126E-4</v>
      </c>
      <c r="Q112" s="74">
        <v>7.1814323847051631E-4</v>
      </c>
      <c r="R112" s="74">
        <v>-1.3565181417649905E-3</v>
      </c>
      <c r="S112" s="74">
        <v>-2.6014363335414496E-3</v>
      </c>
      <c r="T112" s="74">
        <v>3.4459451725396811E-4</v>
      </c>
      <c r="U112" s="74">
        <v>6.2564218455312055E-4</v>
      </c>
      <c r="V112" s="74">
        <v>-1.4944505081287949E-3</v>
      </c>
      <c r="W112" s="74">
        <v>-3.7444495221985774E-4</v>
      </c>
      <c r="X112" s="74">
        <v>-5.6934147380575232E-6</v>
      </c>
      <c r="Y112" s="74">
        <v>6.5219395219672058E-4</v>
      </c>
      <c r="Z112" s="74">
        <v>1.6135238918567039E-4</v>
      </c>
      <c r="AA112" s="74">
        <v>1.3554838765073532E-3</v>
      </c>
      <c r="AB112" s="74">
        <v>-5.6088319301601764E-4</v>
      </c>
      <c r="AC112" s="74">
        <v>-1.1504189822015654E-3</v>
      </c>
      <c r="AD112" s="74">
        <v>-2.1067304011626593E-3</v>
      </c>
      <c r="AE112" s="74">
        <v>4.2021137710494794E-4</v>
      </c>
      <c r="AF112" s="74">
        <v>2.2149782096512966E-3</v>
      </c>
      <c r="AG112" s="74">
        <v>-1.4578414811456238E-4</v>
      </c>
      <c r="AH112" s="74">
        <v>4.1346953094687384E-4</v>
      </c>
      <c r="AI112" s="74">
        <v>4.6807324212717926E-3</v>
      </c>
      <c r="AJ112" s="74">
        <v>4.6625863966190787E-5</v>
      </c>
    </row>
    <row r="113" spans="1:36">
      <c r="A113" s="1" t="s">
        <v>96</v>
      </c>
      <c r="B113" s="74">
        <v>-3.2167884364457037E-4</v>
      </c>
      <c r="C113" s="74">
        <v>4.1980735192194353E-4</v>
      </c>
      <c r="D113" s="74">
        <v>2.9121827575009083E-4</v>
      </c>
      <c r="E113" s="74">
        <v>-3.1366755395471056E-4</v>
      </c>
      <c r="F113" s="74">
        <v>2.4159600187052943E-4</v>
      </c>
      <c r="G113" s="74">
        <v>-2.8468521768011151E-5</v>
      </c>
      <c r="H113" s="74">
        <v>4.6155899307539178E-5</v>
      </c>
      <c r="I113" s="74">
        <v>6.3591026611269484E-5</v>
      </c>
      <c r="J113" s="74">
        <v>-2.9791444441124558E-4</v>
      </c>
      <c r="K113" s="74">
        <v>-7.9488223049702371E-4</v>
      </c>
      <c r="L113" s="74">
        <v>1.8361225969033804E-4</v>
      </c>
      <c r="M113" s="74">
        <v>3.4111505455201814E-4</v>
      </c>
      <c r="N113" s="74">
        <v>3.4710138581961529E-4</v>
      </c>
      <c r="O113" s="74">
        <v>9.0775760255160676E-5</v>
      </c>
      <c r="P113" s="74">
        <v>-4.4995754221458434E-4</v>
      </c>
      <c r="Q113" s="74">
        <v>8.476067733897978E-5</v>
      </c>
      <c r="R113" s="74">
        <v>9.2475872132107126E-4</v>
      </c>
      <c r="S113" s="74">
        <v>1.1977748533176101E-3</v>
      </c>
      <c r="T113" s="74">
        <v>9.670872374301121E-5</v>
      </c>
      <c r="U113" s="74">
        <v>2.5323995577048651E-4</v>
      </c>
      <c r="V113" s="74">
        <v>5.7062621761773185E-4</v>
      </c>
      <c r="W113" s="74">
        <v>-5.1047183135181787E-4</v>
      </c>
      <c r="X113" s="74">
        <v>-4.8357054743427262E-4</v>
      </c>
      <c r="Y113" s="74">
        <v>-6.1116789459202939E-4</v>
      </c>
      <c r="Z113" s="74">
        <v>1.1431946880711336E-4</v>
      </c>
      <c r="AA113" s="74">
        <v>5.1747040636908965E-4</v>
      </c>
      <c r="AB113" s="74">
        <v>4.2715662196260359E-4</v>
      </c>
      <c r="AC113" s="74">
        <v>-3.8935670076516442E-4</v>
      </c>
      <c r="AD113" s="74">
        <v>5.5900678568636885E-4</v>
      </c>
      <c r="AE113" s="74">
        <v>-6.2628069608022623E-4</v>
      </c>
      <c r="AF113" s="74">
        <v>-1.7956311295046206E-3</v>
      </c>
      <c r="AG113" s="74">
        <v>-1.3291455909841563E-4</v>
      </c>
      <c r="AH113" s="74">
        <v>1.1540737676707629E-3</v>
      </c>
      <c r="AI113" s="74">
        <v>4.6625863966190787E-5</v>
      </c>
      <c r="AJ113" s="74">
        <v>1.1709341342651619E-3</v>
      </c>
    </row>
  </sheetData>
  <mergeCells count="107">
    <mergeCell ref="FJ19:FM19"/>
    <mergeCell ref="FO19:FR19"/>
    <mergeCell ref="A38:AK38"/>
    <mergeCell ref="EK19:EN19"/>
    <mergeCell ref="EP19:ES19"/>
    <mergeCell ref="EU19:EX19"/>
    <mergeCell ref="EZ19:FC19"/>
    <mergeCell ref="FE19:FH19"/>
    <mergeCell ref="DQ19:DT19"/>
    <mergeCell ref="DV19:DY19"/>
    <mergeCell ref="EA19:ED19"/>
    <mergeCell ref="EF19:EI19"/>
    <mergeCell ref="K19:N19"/>
    <mergeCell ref="P19:S19"/>
    <mergeCell ref="U19:X19"/>
    <mergeCell ref="Z19:AC19"/>
    <mergeCell ref="AE19:AH19"/>
    <mergeCell ref="AJ19:AM19"/>
    <mergeCell ref="A19:D19"/>
    <mergeCell ref="EZ1:FC2"/>
    <mergeCell ref="FE1:FH2"/>
    <mergeCell ref="FJ1:FM2"/>
    <mergeCell ref="FO1:FR2"/>
    <mergeCell ref="DQ3:DT3"/>
    <mergeCell ref="DV3:DY3"/>
    <mergeCell ref="EA3:ED3"/>
    <mergeCell ref="EF3:EI3"/>
    <mergeCell ref="EK3:EN3"/>
    <mergeCell ref="EP3:ES3"/>
    <mergeCell ref="EU3:EX3"/>
    <mergeCell ref="EZ3:FC3"/>
    <mergeCell ref="FE3:FH3"/>
    <mergeCell ref="FJ3:FM3"/>
    <mergeCell ref="FO3:FR3"/>
    <mergeCell ref="EF1:EI2"/>
    <mergeCell ref="EK1:EN2"/>
    <mergeCell ref="EP1:ES2"/>
    <mergeCell ref="EU1:EX2"/>
    <mergeCell ref="DG1:DJ2"/>
    <mergeCell ref="DL1:DO2"/>
    <mergeCell ref="DQ1:DT2"/>
    <mergeCell ref="DV1:DY2"/>
    <mergeCell ref="EA1:ED2"/>
    <mergeCell ref="CH1:CK2"/>
    <mergeCell ref="CM1:CP2"/>
    <mergeCell ref="CR1:CU2"/>
    <mergeCell ref="CW1:CZ2"/>
    <mergeCell ref="DB1:DE2"/>
    <mergeCell ref="AJ1:AM2"/>
    <mergeCell ref="BI1:BL2"/>
    <mergeCell ref="BN1:BQ2"/>
    <mergeCell ref="BS1:BV2"/>
    <mergeCell ref="BX1:CA2"/>
    <mergeCell ref="CC1:CF2"/>
    <mergeCell ref="AO19:AR19"/>
    <mergeCell ref="AT19:AW19"/>
    <mergeCell ref="AY19:BB19"/>
    <mergeCell ref="BD19:BG19"/>
    <mergeCell ref="AT3:AW3"/>
    <mergeCell ref="AY3:BB3"/>
    <mergeCell ref="BD3:BG3"/>
    <mergeCell ref="BD1:BG2"/>
    <mergeCell ref="AO1:AR2"/>
    <mergeCell ref="AT1:AW2"/>
    <mergeCell ref="AY1:BB2"/>
    <mergeCell ref="A1:D2"/>
    <mergeCell ref="F3:I3"/>
    <mergeCell ref="F19:I19"/>
    <mergeCell ref="F1:I2"/>
    <mergeCell ref="CR3:CU3"/>
    <mergeCell ref="CW3:CZ3"/>
    <mergeCell ref="DB3:DE3"/>
    <mergeCell ref="BI3:BL3"/>
    <mergeCell ref="BN3:BQ3"/>
    <mergeCell ref="BS3:BV3"/>
    <mergeCell ref="BX3:CA3"/>
    <mergeCell ref="CC3:CF3"/>
    <mergeCell ref="K3:N3"/>
    <mergeCell ref="P3:S3"/>
    <mergeCell ref="U3:X3"/>
    <mergeCell ref="Z3:AC3"/>
    <mergeCell ref="AE3:AH3"/>
    <mergeCell ref="AJ3:AM3"/>
    <mergeCell ref="AO3:AR3"/>
    <mergeCell ref="K1:N2"/>
    <mergeCell ref="P1:S2"/>
    <mergeCell ref="U1:X2"/>
    <mergeCell ref="Z1:AC2"/>
    <mergeCell ref="AE1:AH2"/>
    <mergeCell ref="A77:AK77"/>
    <mergeCell ref="DG3:DJ3"/>
    <mergeCell ref="DL3:DO3"/>
    <mergeCell ref="BI19:BL19"/>
    <mergeCell ref="BN19:BQ19"/>
    <mergeCell ref="BS19:BV19"/>
    <mergeCell ref="BX19:CA19"/>
    <mergeCell ref="CC19:CF19"/>
    <mergeCell ref="CH19:CK19"/>
    <mergeCell ref="CM19:CP19"/>
    <mergeCell ref="CR19:CU19"/>
    <mergeCell ref="CW19:CZ19"/>
    <mergeCell ref="DB19:DE19"/>
    <mergeCell ref="DG19:DJ19"/>
    <mergeCell ref="DL19:DO19"/>
    <mergeCell ref="CH3:CK3"/>
    <mergeCell ref="CM3:CP3"/>
    <mergeCell ref="A3:D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C8B3B-399E-44A2-ACBC-7725D28A6DEE}">
  <sheetPr codeName="Hoja3"/>
  <dimension ref="A1:AY73"/>
  <sheetViews>
    <sheetView workbookViewId="0">
      <selection activeCell="F32" sqref="F32"/>
    </sheetView>
  </sheetViews>
  <sheetFormatPr baseColWidth="10" defaultRowHeight="15"/>
  <cols>
    <col min="1" max="1" width="11.42578125" style="22"/>
    <col min="2" max="2" width="53.85546875" bestFit="1" customWidth="1"/>
    <col min="3" max="3" width="13.28515625" style="48" bestFit="1" customWidth="1"/>
    <col min="4" max="4" width="13.28515625" bestFit="1" customWidth="1"/>
    <col min="6" max="6" width="13" bestFit="1" customWidth="1"/>
  </cols>
  <sheetData>
    <row r="1" spans="1:51" s="22" customFormat="1">
      <c r="A1" s="63" t="s">
        <v>56</v>
      </c>
      <c r="B1" s="58" t="s">
        <v>52</v>
      </c>
      <c r="C1" s="76" t="s">
        <v>97</v>
      </c>
      <c r="D1" s="59" t="s">
        <v>35</v>
      </c>
      <c r="F1" s="64"/>
      <c r="G1" s="22" t="s">
        <v>57</v>
      </c>
      <c r="I1"/>
    </row>
    <row r="2" spans="1:51">
      <c r="A2" s="67">
        <v>1</v>
      </c>
      <c r="B2" s="60" t="s">
        <v>36</v>
      </c>
      <c r="C2" s="77">
        <v>6.2443179639881663E-4</v>
      </c>
      <c r="D2" s="78">
        <f>(Activos!D35-IPC!I$35)/(IPC!D$35-IPC!I$35)</f>
        <v>1.8485268431595867</v>
      </c>
      <c r="F2" s="65"/>
      <c r="G2" t="s">
        <v>58</v>
      </c>
      <c r="J2" s="22"/>
      <c r="K2" s="22"/>
      <c r="L2" s="22"/>
      <c r="M2" s="22"/>
      <c r="N2" s="22"/>
      <c r="O2" s="22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>
      <c r="A3" s="67">
        <v>2</v>
      </c>
      <c r="B3" s="60" t="s">
        <v>47</v>
      </c>
      <c r="C3" s="77">
        <v>-0.21530802719741782</v>
      </c>
      <c r="D3" s="78">
        <f>(Activos!I35-IPC!I$35)/(IPC!D$35-IPC!I$35)</f>
        <v>-0.82693522486189752</v>
      </c>
      <c r="F3" s="66"/>
      <c r="G3" s="22" t="s">
        <v>59</v>
      </c>
      <c r="H3" s="22"/>
      <c r="I3" s="22"/>
      <c r="J3" s="22"/>
      <c r="K3" s="22"/>
      <c r="L3" s="22"/>
      <c r="M3" s="22"/>
      <c r="N3" s="22"/>
      <c r="O3" s="2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67">
        <v>3</v>
      </c>
      <c r="B4" s="60" t="s">
        <v>37</v>
      </c>
      <c r="C4" s="77">
        <v>-4.4382421529697069E-2</v>
      </c>
      <c r="D4" s="78">
        <f>(Activos!N35-IPC!I$35)/(IPC!D$35-IPC!I$35)</f>
        <v>1.2908796536815832</v>
      </c>
    </row>
    <row r="5" spans="1:51">
      <c r="A5" s="67">
        <v>4</v>
      </c>
      <c r="B5" s="60" t="s">
        <v>38</v>
      </c>
      <c r="C5" s="79">
        <v>-3.3081130073912279E-2</v>
      </c>
      <c r="D5" s="80">
        <f>(Activos!S35-IPC!I$35)/(IPC!D$35-IPC!I$35)</f>
        <v>1.4309057375343741</v>
      </c>
    </row>
    <row r="6" spans="1:51">
      <c r="A6" s="67">
        <v>5</v>
      </c>
      <c r="B6" s="60" t="s">
        <v>46</v>
      </c>
      <c r="C6" s="77">
        <v>-8.2612688787945976E-2</v>
      </c>
      <c r="D6" s="78">
        <f>(Activos!X35-IPC!I$35)/(IPC!D$35-IPC!I$35)</f>
        <v>0.81719621407097043</v>
      </c>
    </row>
    <row r="7" spans="1:51">
      <c r="A7" s="67">
        <v>6</v>
      </c>
      <c r="B7" s="60" t="s">
        <v>45</v>
      </c>
      <c r="C7" s="77">
        <v>-0.30011528225158673</v>
      </c>
      <c r="D7" s="78">
        <f>(Activos!AC35-IPC!I$35)/(IPC!D$35-IPC!I$35)</f>
        <v>-1.8777202483258764</v>
      </c>
    </row>
    <row r="8" spans="1:51">
      <c r="A8" s="67">
        <v>7</v>
      </c>
      <c r="B8" s="60" t="s">
        <v>44</v>
      </c>
      <c r="C8" s="77">
        <v>0.39064616568912014</v>
      </c>
      <c r="D8" s="78">
        <f>(Activos!AH35-IPC!I$35)/(IPC!D$35-IPC!I$35)</f>
        <v>6.6810025144704301</v>
      </c>
    </row>
    <row r="9" spans="1:51">
      <c r="A9" s="67">
        <v>8</v>
      </c>
      <c r="B9" s="60" t="s">
        <v>43</v>
      </c>
      <c r="C9" s="79">
        <v>6.4684996717427001E-2</v>
      </c>
      <c r="D9" s="81">
        <f>(Activos!AM35-IPC!I$35)/(IPC!D$35-IPC!I$35)</f>
        <v>2.6422547166848291</v>
      </c>
    </row>
    <row r="10" spans="1:51">
      <c r="A10" s="67">
        <v>9</v>
      </c>
      <c r="B10" s="60" t="s">
        <v>42</v>
      </c>
      <c r="C10" s="77">
        <v>0.25880513997328036</v>
      </c>
      <c r="D10" s="78">
        <f>(Activos!AR35-IPC!I$35)/(IPC!D$35-IPC!I$35)</f>
        <v>5.0474562428472503</v>
      </c>
      <c r="F10" s="86"/>
    </row>
    <row r="11" spans="1:51">
      <c r="A11" s="67">
        <v>10</v>
      </c>
      <c r="B11" s="60" t="s">
        <v>41</v>
      </c>
      <c r="C11" s="77">
        <v>3.0976026088435804E-2</v>
      </c>
      <c r="D11" s="78">
        <f>(Activos!AW35-IPC!I$35)/(IPC!D$35-IPC!I$35)</f>
        <v>2.224591375609744</v>
      </c>
    </row>
    <row r="12" spans="1:51">
      <c r="A12" s="67">
        <v>11</v>
      </c>
      <c r="B12" s="60" t="s">
        <v>40</v>
      </c>
      <c r="C12" s="79">
        <v>-0.21530802719741782</v>
      </c>
      <c r="D12" s="80">
        <f>(Activos!BB35-IPC!I$35)/(IPC!D$35-IPC!I$35)</f>
        <v>3.4661432053290455E-3</v>
      </c>
    </row>
    <row r="13" spans="1:51">
      <c r="A13" s="67">
        <v>12</v>
      </c>
      <c r="B13" s="60" t="s">
        <v>39</v>
      </c>
      <c r="C13" s="77">
        <v>0.20825371326629905</v>
      </c>
      <c r="D13" s="78">
        <f>(Activos!BG35-IPC!I$35)/(IPC!D$35-IPC!I$35)</f>
        <v>4.4211102767562069</v>
      </c>
    </row>
    <row r="14" spans="1:51">
      <c r="A14" s="67">
        <v>13</v>
      </c>
      <c r="B14" s="60" t="s">
        <v>21</v>
      </c>
      <c r="C14" s="79">
        <v>-0.2650468200653755</v>
      </c>
      <c r="D14" s="82">
        <f>(Activos!BL35-IPC!I$35)/(IPC!D$35-IPC!I$35)</f>
        <v>-1.4432124360208227</v>
      </c>
    </row>
    <row r="15" spans="1:51">
      <c r="A15" s="67">
        <v>14</v>
      </c>
      <c r="B15" s="60" t="s">
        <v>22</v>
      </c>
      <c r="C15" s="79">
        <v>0.26004011667424337</v>
      </c>
      <c r="D15" s="81">
        <f>(Activos!BQ35-IPC!I$35)/(IPC!D$35-IPC!I$35)</f>
        <v>5.0627579410435901</v>
      </c>
    </row>
    <row r="16" spans="1:51">
      <c r="A16" s="67">
        <v>15</v>
      </c>
      <c r="B16" s="60" t="s">
        <v>23</v>
      </c>
      <c r="C16" s="77">
        <v>2.171139786474735E-2</v>
      </c>
      <c r="D16" s="78">
        <f>(Activos!BV35-IPC!I$35)/(IPC!D$35-IPC!I$35)</f>
        <v>2.1098001047544921</v>
      </c>
    </row>
    <row r="17" spans="1:37">
      <c r="A17" s="67">
        <v>16</v>
      </c>
      <c r="B17" s="60" t="s">
        <v>53</v>
      </c>
      <c r="C17" s="77">
        <v>-0.16311339112209494</v>
      </c>
      <c r="D17" s="78">
        <f>(Activos!CA35-IPC!I$35)/(IPC!D$35-IPC!I$35)</f>
        <v>-0.18022944646981737</v>
      </c>
    </row>
    <row r="18" spans="1:37">
      <c r="A18" s="67">
        <v>17</v>
      </c>
      <c r="B18" s="60" t="s">
        <v>25</v>
      </c>
      <c r="C18" s="79">
        <v>0.28903712272561155</v>
      </c>
      <c r="D18" s="83">
        <f>(Activos!CF35-IPC!I$35)/(IPC!D$35-IPC!I$35)</f>
        <v>5.4220387556933529</v>
      </c>
      <c r="F18" s="22"/>
    </row>
    <row r="19" spans="1:37">
      <c r="A19" s="67">
        <v>18</v>
      </c>
      <c r="B19" s="60" t="s">
        <v>26</v>
      </c>
      <c r="C19" s="77">
        <v>-0.22057871132438778</v>
      </c>
      <c r="D19" s="78">
        <f>(Activos!CK35-IPC!I$35)/(IPC!D$35-IPC!I$35)</f>
        <v>-0.89224043890864191</v>
      </c>
    </row>
    <row r="20" spans="1:37">
      <c r="A20" s="67">
        <v>19</v>
      </c>
      <c r="B20" s="60" t="s">
        <v>27</v>
      </c>
      <c r="C20" s="77">
        <v>0.17612875752416002</v>
      </c>
      <c r="D20" s="78">
        <f>(Activos!CP35-IPC!I$35)/(IPC!D$35-IPC!I$35)</f>
        <v>4.0230733122096991</v>
      </c>
    </row>
    <row r="21" spans="1:37">
      <c r="A21" s="67">
        <v>20</v>
      </c>
      <c r="B21" s="60" t="s">
        <v>28</v>
      </c>
      <c r="C21" s="77">
        <v>6.8947364044318504E-2</v>
      </c>
      <c r="D21" s="78">
        <f>(Activos!CU35-IPC!I$35)/(IPC!D$35-IPC!I$35)</f>
        <v>2.6950666105344649</v>
      </c>
    </row>
    <row r="22" spans="1:37">
      <c r="A22" s="67">
        <v>21</v>
      </c>
      <c r="B22" s="60" t="s">
        <v>54</v>
      </c>
      <c r="C22" s="77">
        <v>0.13788246772264956</v>
      </c>
      <c r="D22" s="78">
        <f>(Activos!CZ35-IPC!I$35)/(IPC!D$35-IPC!I$35)</f>
        <v>3.5491913489175184</v>
      </c>
    </row>
    <row r="23" spans="1:37">
      <c r="A23" s="67">
        <v>22</v>
      </c>
      <c r="B23" s="60" t="s">
        <v>30</v>
      </c>
      <c r="C23" s="77">
        <v>-0.12411408799673546</v>
      </c>
      <c r="D23" s="78">
        <f>(Activos!DE35-IPC!I$35)/(IPC!D$35-IPC!I$35)</f>
        <v>0.30298255730845158</v>
      </c>
    </row>
    <row r="24" spans="1:37">
      <c r="A24" s="67">
        <v>23</v>
      </c>
      <c r="B24" s="60" t="s">
        <v>31</v>
      </c>
      <c r="C24" s="77">
        <v>3.4604094996156021E-2</v>
      </c>
      <c r="D24" s="78">
        <f>(Activos!DJ35-IPC!I$35)/(IPC!D$35-IPC!I$35)</f>
        <v>2.2695441390247688</v>
      </c>
      <c r="F24" s="1"/>
      <c r="G24" s="1"/>
      <c r="H24" s="1"/>
      <c r="J24" s="1"/>
      <c r="K24" s="1"/>
      <c r="L24" s="1"/>
      <c r="N24" s="1"/>
      <c r="O24" s="1"/>
      <c r="P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>
      <c r="A25" s="67">
        <v>24</v>
      </c>
      <c r="B25" s="60" t="s">
        <v>32</v>
      </c>
      <c r="C25" s="77">
        <v>-0.19141828468850669</v>
      </c>
      <c r="D25" s="78">
        <f>(Activos!DO35-IPC!I$35)/(IPC!D$35-IPC!I$35)</f>
        <v>-0.53093479863962956</v>
      </c>
    </row>
    <row r="26" spans="1:37">
      <c r="A26" s="67">
        <v>25</v>
      </c>
      <c r="B26" s="60" t="s">
        <v>9</v>
      </c>
      <c r="C26" s="79">
        <v>-0.29005647387618394</v>
      </c>
      <c r="D26" s="83">
        <f>(Activos!DT35-IPC!I$35)/(IPC!D$35-IPC!I$35)</f>
        <v>-1.7530888687579826</v>
      </c>
    </row>
    <row r="27" spans="1:37">
      <c r="A27" s="67">
        <v>26</v>
      </c>
      <c r="B27" s="60" t="s">
        <v>11</v>
      </c>
      <c r="C27" s="79">
        <v>-2.0118771376109901E-2</v>
      </c>
      <c r="D27" s="80">
        <f>(Activos!DY35-IPC!I$35)/(IPC!D$35-IPC!I$35)</f>
        <v>1.5915128976142383</v>
      </c>
    </row>
    <row r="28" spans="1:37">
      <c r="A28" s="67">
        <v>27</v>
      </c>
      <c r="B28" s="61" t="s">
        <v>12</v>
      </c>
      <c r="C28" s="79">
        <v>6.4143076435343699E-2</v>
      </c>
      <c r="D28" s="81">
        <f>(Activos!ED35-IPC!I$35)/(IPC!D$35-IPC!I$35)</f>
        <v>2.6355401765672317</v>
      </c>
    </row>
    <row r="29" spans="1:37">
      <c r="A29" s="67">
        <v>28</v>
      </c>
      <c r="B29" s="61" t="s">
        <v>13</v>
      </c>
      <c r="C29" s="79">
        <v>-0.12202017930655915</v>
      </c>
      <c r="D29" s="81">
        <f>(Activos!EI35-IPC!I$35)/(IPC!D$35-IPC!I$35)</f>
        <v>0.32892665714676117</v>
      </c>
    </row>
    <row r="30" spans="1:37">
      <c r="A30" s="67">
        <v>29</v>
      </c>
      <c r="B30" s="61" t="s">
        <v>14</v>
      </c>
      <c r="C30" s="77">
        <v>4.1418207862333245E-2</v>
      </c>
      <c r="D30" s="78">
        <f>(Activos!EN35-IPC!I$35)/(IPC!D$35-IPC!I$35)</f>
        <v>2.3539728561598632</v>
      </c>
    </row>
    <row r="31" spans="1:37">
      <c r="A31" s="67">
        <v>30</v>
      </c>
      <c r="B31" s="61" t="s">
        <v>15</v>
      </c>
      <c r="C31" s="79">
        <v>-0.11255524367428602</v>
      </c>
      <c r="D31" s="82">
        <f>(Activos!ES35-IPC!I$35)/(IPC!D$35-IPC!I$35)</f>
        <v>0.44619979143333383</v>
      </c>
    </row>
    <row r="32" spans="1:37">
      <c r="A32" s="67">
        <v>31</v>
      </c>
      <c r="B32" s="61" t="s">
        <v>16</v>
      </c>
      <c r="C32" s="79">
        <v>0.28715929979878563</v>
      </c>
      <c r="D32" s="83">
        <f>(Activos!EX35-IPC!I$35)/(IPC!D$35-IPC!I$35)</f>
        <v>5.39877201740586</v>
      </c>
      <c r="E32" s="1"/>
      <c r="G32" s="1"/>
      <c r="H32" s="1"/>
      <c r="I32" s="1"/>
      <c r="K32" s="1"/>
      <c r="L32" s="1"/>
      <c r="M32" s="1"/>
      <c r="O32" s="1"/>
      <c r="P32" s="1"/>
      <c r="Q32" s="1"/>
    </row>
    <row r="33" spans="1:36">
      <c r="A33" s="67">
        <v>32</v>
      </c>
      <c r="B33" s="61" t="s">
        <v>17</v>
      </c>
      <c r="C33" s="77">
        <v>-0.112797871959504</v>
      </c>
      <c r="D33" s="78">
        <f>(Activos!FC35-IPC!I$35)/(IPC!D$35-IPC!I$35)</f>
        <v>0.44319356079642713</v>
      </c>
    </row>
    <row r="34" spans="1:36">
      <c r="A34" s="67">
        <v>33</v>
      </c>
      <c r="B34" s="61" t="s">
        <v>18</v>
      </c>
      <c r="C34" s="77">
        <v>0.49882497959606903</v>
      </c>
      <c r="D34" s="78">
        <f>(Activos!FH35-IPC!I$35)/(IPC!D$35-IPC!I$35)</f>
        <v>8.0213675273093976</v>
      </c>
    </row>
    <row r="35" spans="1:36">
      <c r="A35" s="67">
        <v>34</v>
      </c>
      <c r="B35" s="61" t="s">
        <v>19</v>
      </c>
      <c r="C35" s="79">
        <v>0.31419157319027508</v>
      </c>
      <c r="D35" s="81">
        <f>(Activos!FM35-IPC!I$35)/(IPC!D$35-IPC!I$35)</f>
        <v>5.7337092584687595</v>
      </c>
    </row>
    <row r="36" spans="1:36" ht="15.75" thickBot="1">
      <c r="A36" s="67">
        <v>35</v>
      </c>
      <c r="B36" s="62" t="s">
        <v>55</v>
      </c>
      <c r="C36" s="79">
        <v>3.7357494529405566E-3</v>
      </c>
      <c r="D36" s="81">
        <f>(Activos!FR35-IPC!I$35)/(IPC!D$35-IPC!I$35)</f>
        <v>1.8870769176154207</v>
      </c>
    </row>
    <row r="37" spans="1:36">
      <c r="A37" s="71"/>
      <c r="B37" s="71"/>
      <c r="C37" s="75"/>
      <c r="D37" s="71"/>
    </row>
    <row r="38" spans="1:36" s="48" customFormat="1">
      <c r="A38" s="71"/>
      <c r="B38" s="71"/>
    </row>
    <row r="39" spans="1:36" s="48" customFormat="1">
      <c r="A39" s="71"/>
      <c r="B39" s="71"/>
      <c r="C39" s="88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</row>
    <row r="40" spans="1:36" s="48" customFormat="1">
      <c r="A40" s="71"/>
      <c r="B40" s="71"/>
      <c r="C40" s="88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</row>
    <row r="41" spans="1:36" s="48" customFormat="1">
      <c r="A41" s="22"/>
      <c r="B41"/>
      <c r="C41" s="88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</row>
    <row r="42" spans="1:36" s="48" customFormat="1">
      <c r="A42" s="22"/>
      <c r="B42"/>
      <c r="C42" s="88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</row>
    <row r="43" spans="1:36" s="48" customFormat="1">
      <c r="A43" s="22"/>
      <c r="B43"/>
      <c r="C43" s="88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</row>
    <row r="44" spans="1:36" s="48" customFormat="1">
      <c r="A44" s="22"/>
      <c r="B44"/>
      <c r="C44" s="88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</row>
    <row r="45" spans="1:36" s="48" customFormat="1">
      <c r="A45" s="22"/>
      <c r="B45"/>
      <c r="C45" s="88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</row>
    <row r="46" spans="1:36" s="48" customFormat="1">
      <c r="A46" s="22"/>
      <c r="B46"/>
      <c r="C46" s="88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</row>
    <row r="47" spans="1:36" s="48" customFormat="1">
      <c r="A47" s="22"/>
      <c r="B47"/>
      <c r="C47" s="88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</row>
    <row r="48" spans="1:36" s="48" customFormat="1">
      <c r="A48" s="22"/>
      <c r="B48"/>
      <c r="C48" s="88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</row>
    <row r="49" spans="1:36" s="48" customFormat="1">
      <c r="A49" s="22"/>
      <c r="B49"/>
      <c r="C49" s="88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</row>
    <row r="50" spans="1:36" s="48" customFormat="1">
      <c r="A50" s="22"/>
      <c r="B50"/>
      <c r="C50" s="88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</row>
    <row r="51" spans="1:36" s="48" customFormat="1">
      <c r="A51" s="22"/>
      <c r="B51"/>
      <c r="C51" s="88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</row>
    <row r="52" spans="1:36" s="48" customFormat="1">
      <c r="A52" s="22"/>
      <c r="B52"/>
      <c r="C52" s="88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</row>
    <row r="53" spans="1:36" s="48" customFormat="1">
      <c r="A53" s="22"/>
      <c r="B53"/>
      <c r="C53" s="88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</row>
    <row r="54" spans="1:36" s="48" customFormat="1">
      <c r="A54" s="22"/>
      <c r="B54"/>
      <c r="C54" s="88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</row>
    <row r="55" spans="1:36" s="48" customFormat="1">
      <c r="A55" s="22"/>
      <c r="B55"/>
      <c r="C55" s="88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</row>
    <row r="56" spans="1:36" s="48" customFormat="1">
      <c r="A56" s="22"/>
      <c r="B56"/>
      <c r="C56" s="88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</row>
    <row r="57" spans="1:36" s="48" customFormat="1">
      <c r="A57" s="22"/>
      <c r="B57"/>
      <c r="C57" s="88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</row>
    <row r="58" spans="1:36" s="48" customFormat="1">
      <c r="A58" s="22"/>
      <c r="B58"/>
      <c r="C58" s="88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</row>
    <row r="59" spans="1:36" s="48" customFormat="1">
      <c r="A59" s="22"/>
      <c r="B59"/>
      <c r="C59" s="88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</row>
    <row r="60" spans="1:36" s="48" customFormat="1">
      <c r="A60" s="22"/>
      <c r="B60"/>
      <c r="C60" s="88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</row>
    <row r="61" spans="1:36" s="48" customFormat="1">
      <c r="A61" s="22"/>
      <c r="B61"/>
      <c r="C61" s="88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</row>
    <row r="62" spans="1:36" s="48" customFormat="1">
      <c r="A62" s="22"/>
      <c r="B62"/>
      <c r="C62" s="88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</row>
    <row r="63" spans="1:36" s="48" customFormat="1">
      <c r="A63" s="22"/>
      <c r="B63"/>
      <c r="C63" s="88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</row>
    <row r="64" spans="1:36" s="48" customFormat="1">
      <c r="A64" s="22"/>
      <c r="B64"/>
      <c r="C64" s="88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</row>
    <row r="65" spans="1:36" s="48" customFormat="1">
      <c r="A65" s="22"/>
      <c r="B65"/>
      <c r="C65" s="88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</row>
    <row r="66" spans="1:36" s="48" customFormat="1">
      <c r="A66" s="22"/>
      <c r="B66"/>
      <c r="C66" s="88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</row>
    <row r="67" spans="1:36" s="48" customFormat="1">
      <c r="A67" s="22"/>
      <c r="B67"/>
      <c r="C67" s="88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</row>
    <row r="68" spans="1:36" s="48" customFormat="1">
      <c r="A68" s="22"/>
      <c r="B68"/>
      <c r="C68" s="88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</row>
    <row r="69" spans="1:36" s="48" customFormat="1">
      <c r="A69" s="22"/>
      <c r="B69"/>
      <c r="C69" s="88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</row>
    <row r="70" spans="1:36" s="48" customFormat="1">
      <c r="A70" s="22"/>
      <c r="B70"/>
      <c r="C70" s="88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</row>
    <row r="71" spans="1:36" s="48" customFormat="1">
      <c r="A71" s="22"/>
      <c r="B71"/>
      <c r="C71" s="88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</row>
    <row r="72" spans="1:36" s="48" customFormat="1">
      <c r="A72" s="22"/>
      <c r="B72"/>
      <c r="C72" s="88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</row>
    <row r="73" spans="1:36" s="48" customFormat="1">
      <c r="A73" s="22"/>
      <c r="B73"/>
      <c r="C73" s="88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C62C-0D42-47AF-8FF8-F785B913093C}">
  <sheetPr codeName="Hoja5"/>
  <dimension ref="A1:C28"/>
  <sheetViews>
    <sheetView topLeftCell="A7" workbookViewId="0">
      <selection activeCell="E20" sqref="E20"/>
    </sheetView>
  </sheetViews>
  <sheetFormatPr baseColWidth="10" defaultRowHeight="15"/>
  <cols>
    <col min="1" max="1" width="8.42578125" bestFit="1" customWidth="1"/>
    <col min="2" max="2" width="53.85546875" customWidth="1"/>
    <col min="3" max="3" width="12" customWidth="1"/>
  </cols>
  <sheetData>
    <row r="1" spans="1:3">
      <c r="A1" s="63" t="s">
        <v>56</v>
      </c>
      <c r="B1" s="58" t="s">
        <v>52</v>
      </c>
      <c r="C1" s="59" t="s">
        <v>35</v>
      </c>
    </row>
    <row r="2" spans="1:3">
      <c r="A2" s="67">
        <v>4</v>
      </c>
      <c r="B2" s="60" t="s">
        <v>38</v>
      </c>
      <c r="C2" s="68">
        <f>(Activos!S35-IPC!I$35)/(IPC!D$35-IPC!I$35)</f>
        <v>1.4309057375343741</v>
      </c>
    </row>
    <row r="3" spans="1:3">
      <c r="A3" s="67">
        <v>8</v>
      </c>
      <c r="B3" s="60" t="s">
        <v>43</v>
      </c>
      <c r="C3" s="69">
        <f>(Activos!AM35-IPC!I$35)/(IPC!D$35-IPC!I$35)</f>
        <v>2.6422547166848291</v>
      </c>
    </row>
    <row r="4" spans="1:3">
      <c r="A4" s="67">
        <v>11</v>
      </c>
      <c r="B4" s="60" t="s">
        <v>40</v>
      </c>
      <c r="C4" s="68">
        <f>(Activos!BB35-IPC!I$35)/(IPC!D$35-IPC!I$35)</f>
        <v>3.4661432053290455E-3</v>
      </c>
    </row>
    <row r="5" spans="1:3">
      <c r="A5" s="67">
        <v>14</v>
      </c>
      <c r="B5" s="60" t="s">
        <v>22</v>
      </c>
      <c r="C5" s="69">
        <f>(Activos!BQ35-IPC!I$35)/(IPC!D$35-IPC!I$35)</f>
        <v>5.0627579410435901</v>
      </c>
    </row>
    <row r="6" spans="1:3">
      <c r="A6" s="67">
        <v>17</v>
      </c>
      <c r="B6" s="60" t="s">
        <v>25</v>
      </c>
      <c r="C6" s="70">
        <f>(Activos!CF35-IPC!I$35)/(IPC!D$35-IPC!I$35)</f>
        <v>5.4220387556933529</v>
      </c>
    </row>
    <row r="7" spans="1:3">
      <c r="A7" s="67">
        <v>25</v>
      </c>
      <c r="B7" s="60" t="s">
        <v>9</v>
      </c>
      <c r="C7" s="70">
        <f>(Activos!DT35-IPC!I$35)/(IPC!D$35-IPC!I$35)</f>
        <v>-1.7530888687579826</v>
      </c>
    </row>
    <row r="8" spans="1:3">
      <c r="A8" s="67">
        <v>26</v>
      </c>
      <c r="B8" s="60" t="s">
        <v>11</v>
      </c>
      <c r="C8" s="68">
        <f>(Activos!DY35-IPC!I$35)/(IPC!D$35-IPC!I$35)</f>
        <v>1.5915128976142383</v>
      </c>
    </row>
    <row r="9" spans="1:3">
      <c r="A9" s="67">
        <v>27</v>
      </c>
      <c r="B9" s="61" t="s">
        <v>12</v>
      </c>
      <c r="C9" s="69">
        <f>(Activos!ED35-IPC!I$35)/(IPC!D$35-IPC!I$35)</f>
        <v>2.6355401765672317</v>
      </c>
    </row>
    <row r="10" spans="1:3">
      <c r="A10" s="67">
        <v>28</v>
      </c>
      <c r="B10" s="61" t="s">
        <v>13</v>
      </c>
      <c r="C10" s="69">
        <f>(Activos!EI35-IPC!I$35)/(IPC!D$35-IPC!I$35)</f>
        <v>0.32892665714676117</v>
      </c>
    </row>
    <row r="11" spans="1:3">
      <c r="A11" s="67">
        <v>31</v>
      </c>
      <c r="B11" s="61" t="s">
        <v>16</v>
      </c>
      <c r="C11" s="70">
        <f>(Activos!EX35-IPC!I$35)/(IPC!D$35-IPC!I$35)</f>
        <v>5.39877201740586</v>
      </c>
    </row>
    <row r="12" spans="1:3">
      <c r="A12" s="67">
        <v>34</v>
      </c>
      <c r="B12" s="61" t="s">
        <v>19</v>
      </c>
      <c r="C12" s="69">
        <f>(Activos!FM35-IPC!I$35)/(IPC!D$35-IPC!I$35)</f>
        <v>5.7337092584687595</v>
      </c>
    </row>
    <row r="13" spans="1:3" ht="15.75" thickBot="1">
      <c r="A13" s="67">
        <v>35</v>
      </c>
      <c r="B13" s="62" t="s">
        <v>55</v>
      </c>
      <c r="C13" s="69">
        <f>(Activos!FR35-IPC!I$35)/(IPC!D$35-IPC!I$35)</f>
        <v>1.8870769176154207</v>
      </c>
    </row>
    <row r="15" spans="1:3" ht="15.75" thickBot="1"/>
    <row r="16" spans="1:3">
      <c r="A16" s="63" t="s">
        <v>56</v>
      </c>
      <c r="B16" s="58" t="s">
        <v>52</v>
      </c>
      <c r="C16" s="59" t="s">
        <v>35</v>
      </c>
    </row>
    <row r="17" spans="1:3">
      <c r="A17" s="67">
        <v>4</v>
      </c>
      <c r="B17" s="60" t="s">
        <v>38</v>
      </c>
      <c r="C17" s="89">
        <v>1.4309057375343741</v>
      </c>
    </row>
    <row r="18" spans="1:3">
      <c r="A18" s="67">
        <v>8</v>
      </c>
      <c r="B18" s="60" t="s">
        <v>43</v>
      </c>
      <c r="C18" s="89">
        <v>2.6422547166848291</v>
      </c>
    </row>
    <row r="19" spans="1:3">
      <c r="A19" s="67">
        <v>11</v>
      </c>
      <c r="B19" s="60" t="s">
        <v>40</v>
      </c>
      <c r="C19" s="89">
        <v>3.4661432053290455E-3</v>
      </c>
    </row>
    <row r="20" spans="1:3">
      <c r="A20" s="67">
        <v>14</v>
      </c>
      <c r="B20" s="60" t="s">
        <v>22</v>
      </c>
      <c r="C20" s="89">
        <v>5.0627579410435901</v>
      </c>
    </row>
    <row r="21" spans="1:3">
      <c r="A21" s="67">
        <v>17</v>
      </c>
      <c r="B21" s="60" t="s">
        <v>25</v>
      </c>
      <c r="C21" s="89">
        <v>5.4220387556933529</v>
      </c>
    </row>
    <row r="22" spans="1:3">
      <c r="A22" s="67">
        <v>25</v>
      </c>
      <c r="B22" s="60" t="s">
        <v>9</v>
      </c>
      <c r="C22" s="89">
        <v>-1.7530888687579826</v>
      </c>
    </row>
    <row r="23" spans="1:3">
      <c r="A23" s="67">
        <v>26</v>
      </c>
      <c r="B23" s="60" t="s">
        <v>11</v>
      </c>
      <c r="C23" s="89">
        <v>1.5915128976142383</v>
      </c>
    </row>
    <row r="24" spans="1:3">
      <c r="A24" s="67">
        <v>27</v>
      </c>
      <c r="B24" s="61" t="s">
        <v>12</v>
      </c>
      <c r="C24" s="89">
        <v>2.6355401765672317</v>
      </c>
    </row>
    <row r="25" spans="1:3">
      <c r="A25" s="67">
        <v>28</v>
      </c>
      <c r="B25" s="61" t="s">
        <v>13</v>
      </c>
      <c r="C25" s="89">
        <v>0.32892665714676117</v>
      </c>
    </row>
    <row r="26" spans="1:3">
      <c r="A26" s="67">
        <v>31</v>
      </c>
      <c r="B26" s="61" t="s">
        <v>16</v>
      </c>
      <c r="C26" s="89">
        <v>5.39877201740586</v>
      </c>
    </row>
    <row r="27" spans="1:3">
      <c r="A27" s="67">
        <v>34</v>
      </c>
      <c r="B27" s="61" t="s">
        <v>19</v>
      </c>
      <c r="C27" s="89">
        <v>5.7337092584687595</v>
      </c>
    </row>
    <row r="28" spans="1:3" ht="15.75" thickBot="1">
      <c r="A28" s="67">
        <v>35</v>
      </c>
      <c r="B28" s="62" t="s">
        <v>55</v>
      </c>
      <c r="C28" s="89">
        <v>1.8870769176154207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58D1-3B70-4C53-B5E2-6718F6EE99EB}">
  <sheetPr codeName="Hoja4"/>
  <dimension ref="A1:M33"/>
  <sheetViews>
    <sheetView workbookViewId="0">
      <selection activeCell="H13" sqref="H13"/>
    </sheetView>
  </sheetViews>
  <sheetFormatPr baseColWidth="10" defaultRowHeight="15"/>
  <sheetData>
    <row r="1" spans="1:9">
      <c r="A1" t="s">
        <v>106</v>
      </c>
    </row>
    <row r="3" spans="1:9">
      <c r="A3" s="22"/>
      <c r="B3" s="84" t="s">
        <v>98</v>
      </c>
      <c r="C3" s="22">
        <v>-0.14856734764628454</v>
      </c>
      <c r="D3" s="22"/>
      <c r="E3" s="22"/>
      <c r="F3" s="22"/>
    </row>
    <row r="4" spans="1:9">
      <c r="A4" s="22"/>
      <c r="B4" s="22"/>
      <c r="C4" s="22"/>
      <c r="D4" s="22"/>
      <c r="E4" s="22"/>
      <c r="F4" s="22"/>
    </row>
    <row r="5" spans="1:9">
      <c r="A5" s="132" t="s">
        <v>52</v>
      </c>
      <c r="B5" s="132" t="s">
        <v>97</v>
      </c>
      <c r="C5" s="132" t="s">
        <v>99</v>
      </c>
      <c r="D5" s="22"/>
      <c r="E5" s="131" t="s">
        <v>100</v>
      </c>
      <c r="F5" s="130" t="s">
        <v>101</v>
      </c>
      <c r="H5" s="85" t="s">
        <v>103</v>
      </c>
      <c r="I5">
        <f>SUMPRODUCT(F6:F17,B6:B17)</f>
        <v>0.15436152720172233</v>
      </c>
    </row>
    <row r="6" spans="1:9">
      <c r="A6" s="128" t="s">
        <v>65</v>
      </c>
      <c r="B6" s="129">
        <v>-3.3081130073912279E-2</v>
      </c>
      <c r="C6" s="129">
        <v>1.4309057375343741</v>
      </c>
      <c r="D6" s="22"/>
      <c r="E6" s="23">
        <f t="array" ref="E6:E17">MMULT(MINVERSE(B22:M33),B6:B17-C3)</f>
        <v>206.84757527657177</v>
      </c>
      <c r="F6" s="23">
        <f>E6/E$18</f>
        <v>0.24995312455905586</v>
      </c>
      <c r="H6" s="85" t="s">
        <v>104</v>
      </c>
      <c r="I6" s="22">
        <f>SUMPRODUCT(F6:F17,C6:C17)</f>
        <v>3.7533713909471955</v>
      </c>
    </row>
    <row r="7" spans="1:9">
      <c r="A7" s="128" t="s">
        <v>69</v>
      </c>
      <c r="B7" s="129">
        <v>6.4684996717427001E-2</v>
      </c>
      <c r="C7" s="129">
        <v>2.6422547166848291</v>
      </c>
      <c r="D7" s="22"/>
      <c r="E7" s="23">
        <v>68.224366025459076</v>
      </c>
      <c r="F7" s="23">
        <f t="shared" ref="F7:F17" si="0">E7/E$18</f>
        <v>8.2441833975201828E-2</v>
      </c>
      <c r="H7" s="85" t="s">
        <v>105</v>
      </c>
      <c r="I7" cm="1">
        <f t="array" ref="I7">MMULT(TRANSPOSE(F6:F17),MMULT(B22:M33,F6:F17))</f>
        <v>3.6605707698616943E-4</v>
      </c>
    </row>
    <row r="8" spans="1:9">
      <c r="A8" s="128" t="s">
        <v>72</v>
      </c>
      <c r="B8" s="129">
        <v>-0.1482876005197985</v>
      </c>
      <c r="C8" s="129">
        <v>3.4661432053290455E-3</v>
      </c>
      <c r="D8" s="22"/>
      <c r="E8" s="23">
        <v>-83.643673009808111</v>
      </c>
      <c r="F8" s="23">
        <f t="shared" si="0"/>
        <v>-0.10107441380660699</v>
      </c>
    </row>
    <row r="9" spans="1:9">
      <c r="A9" s="128" t="s">
        <v>75</v>
      </c>
      <c r="B9" s="129">
        <v>0.26004011667424337</v>
      </c>
      <c r="C9" s="129">
        <v>5.0627579410435901</v>
      </c>
      <c r="D9" s="22"/>
      <c r="E9" s="23">
        <v>248.20774467739417</v>
      </c>
      <c r="F9" s="23">
        <f t="shared" si="0"/>
        <v>0.29993245624909159</v>
      </c>
    </row>
    <row r="10" spans="1:9">
      <c r="A10" s="128" t="s">
        <v>78</v>
      </c>
      <c r="B10" s="129">
        <v>0.28903712272561155</v>
      </c>
      <c r="C10" s="129">
        <v>5.4220387556933529</v>
      </c>
      <c r="D10" s="22"/>
      <c r="E10" s="23">
        <v>43.155726507926538</v>
      </c>
      <c r="F10" s="23">
        <f t="shared" si="0"/>
        <v>5.2149070004080783E-2</v>
      </c>
    </row>
    <row r="11" spans="1:9">
      <c r="A11" s="128" t="s">
        <v>86</v>
      </c>
      <c r="B11" s="129">
        <v>-0.29005647387618394</v>
      </c>
      <c r="C11" s="129">
        <v>-1.7530888687579826</v>
      </c>
      <c r="D11" s="22"/>
      <c r="E11" s="23">
        <v>4.5766261926033183</v>
      </c>
      <c r="F11" s="23">
        <f t="shared" si="0"/>
        <v>5.5303622256653124E-3</v>
      </c>
    </row>
    <row r="12" spans="1:9">
      <c r="A12" s="128" t="s">
        <v>87</v>
      </c>
      <c r="B12" s="129">
        <v>-2.0118771376109901E-2</v>
      </c>
      <c r="C12" s="129">
        <v>1.5915128976142383</v>
      </c>
      <c r="D12" s="22"/>
      <c r="E12" s="23">
        <v>-55.879901846273938</v>
      </c>
      <c r="F12" s="23">
        <f t="shared" si="0"/>
        <v>-6.7524872108624193E-2</v>
      </c>
    </row>
    <row r="13" spans="1:9">
      <c r="A13" s="128" t="s">
        <v>88</v>
      </c>
      <c r="B13" s="129">
        <v>6.4143076435343699E-2</v>
      </c>
      <c r="C13" s="129">
        <v>2.6355401765672317</v>
      </c>
      <c r="D13" s="22"/>
      <c r="E13" s="23">
        <v>-73.308908531005514</v>
      </c>
      <c r="F13" s="23">
        <f t="shared" si="0"/>
        <v>-8.858595862600023E-2</v>
      </c>
    </row>
    <row r="14" spans="1:9">
      <c r="A14" s="128" t="s">
        <v>89</v>
      </c>
      <c r="B14" s="129">
        <v>-0.12202017930655915</v>
      </c>
      <c r="C14" s="129">
        <v>0.32892665714676117</v>
      </c>
      <c r="D14" s="22"/>
      <c r="E14" s="23">
        <v>87.972834013801517</v>
      </c>
      <c r="F14" s="23">
        <f t="shared" si="0"/>
        <v>0.10630574087544276</v>
      </c>
    </row>
    <row r="15" spans="1:9">
      <c r="A15" s="128" t="s">
        <v>92</v>
      </c>
      <c r="B15" s="129">
        <v>0.28715929979878563</v>
      </c>
      <c r="C15" s="129">
        <v>5.39877201740586</v>
      </c>
      <c r="D15" s="22"/>
      <c r="E15" s="23">
        <v>-6.2845589733059093</v>
      </c>
      <c r="F15" s="23">
        <f t="shared" si="0"/>
        <v>-7.5942159329308954E-3</v>
      </c>
    </row>
    <row r="16" spans="1:9">
      <c r="A16" s="128" t="s">
        <v>95</v>
      </c>
      <c r="B16" s="129">
        <v>0.31419157319027508</v>
      </c>
      <c r="C16" s="129">
        <v>5.7337092584687595</v>
      </c>
      <c r="D16" s="22"/>
      <c r="E16" s="23">
        <v>182.78385209620498</v>
      </c>
      <c r="F16" s="23">
        <f t="shared" si="0"/>
        <v>0.22087469427330275</v>
      </c>
    </row>
    <row r="17" spans="1:13">
      <c r="A17" s="128" t="s">
        <v>96</v>
      </c>
      <c r="B17" s="129">
        <v>3.7357494529405566E-3</v>
      </c>
      <c r="C17" s="129">
        <v>1.8870769176154207</v>
      </c>
      <c r="D17" s="22"/>
      <c r="E17" s="23">
        <v>204.89378491145087</v>
      </c>
      <c r="F17" s="23">
        <f t="shared" si="0"/>
        <v>0.24759217831232139</v>
      </c>
    </row>
    <row r="18" spans="1:13">
      <c r="D18" t="s">
        <v>102</v>
      </c>
      <c r="E18">
        <f>SUM(E6:E17)</f>
        <v>827.54546734101882</v>
      </c>
    </row>
    <row r="19" spans="1:13" s="22" customFormat="1"/>
    <row r="20" spans="1:13">
      <c r="B20" s="90" t="s">
        <v>107</v>
      </c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</row>
    <row r="21" spans="1:13">
      <c r="A21" s="22"/>
      <c r="B21" s="22" t="s">
        <v>65</v>
      </c>
      <c r="C21" s="22" t="s">
        <v>69</v>
      </c>
      <c r="D21" s="22" t="s">
        <v>72</v>
      </c>
      <c r="E21" s="22" t="s">
        <v>75</v>
      </c>
      <c r="F21" s="22" t="s">
        <v>78</v>
      </c>
      <c r="G21" s="22" t="s">
        <v>86</v>
      </c>
      <c r="H21" s="22" t="s">
        <v>87</v>
      </c>
      <c r="I21" s="22" t="s">
        <v>88</v>
      </c>
      <c r="J21" s="22" t="s">
        <v>89</v>
      </c>
      <c r="K21" s="22" t="s">
        <v>92</v>
      </c>
      <c r="L21" s="22" t="s">
        <v>95</v>
      </c>
      <c r="M21" s="22" t="s">
        <v>96</v>
      </c>
    </row>
    <row r="22" spans="1:13">
      <c r="A22" s="1" t="s">
        <v>65</v>
      </c>
      <c r="B22" s="74">
        <v>2.1221498560591596E-3</v>
      </c>
      <c r="C22" s="74">
        <v>-6.3639156379303433E-4</v>
      </c>
      <c r="D22" s="74">
        <v>2.9495163707115115E-4</v>
      </c>
      <c r="E22" s="74">
        <v>-5.3870685792569686E-4</v>
      </c>
      <c r="F22" s="74">
        <v>1.3924335720168657E-3</v>
      </c>
      <c r="G22" s="74">
        <v>6.2373482645073882E-4</v>
      </c>
      <c r="H22" s="74">
        <v>2.5222162913528457E-4</v>
      </c>
      <c r="I22" s="74">
        <v>7.5697764174932885E-4</v>
      </c>
      <c r="J22" s="74">
        <v>1.1921120255306897E-4</v>
      </c>
      <c r="K22" s="74">
        <v>2.8430212623312065E-3</v>
      </c>
      <c r="L22" s="74">
        <v>-2.3736402153810108E-4</v>
      </c>
      <c r="M22" s="74">
        <v>-3.1366755395471056E-4</v>
      </c>
    </row>
    <row r="23" spans="1:13">
      <c r="A23" s="1" t="s">
        <v>69</v>
      </c>
      <c r="B23" s="74">
        <v>-6.3639156379303433E-4</v>
      </c>
      <c r="C23" s="74">
        <v>3.4034470994277473E-3</v>
      </c>
      <c r="D23" s="74">
        <v>-2.9693324888585581E-4</v>
      </c>
      <c r="E23" s="74">
        <v>-3.9568611517910298E-4</v>
      </c>
      <c r="F23" s="74">
        <v>1.0529941821205474E-3</v>
      </c>
      <c r="G23" s="74">
        <v>-1.8972700403121318E-3</v>
      </c>
      <c r="H23" s="74">
        <v>-1.8903894247059523E-4</v>
      </c>
      <c r="I23" s="74">
        <v>-3.9907524864650539E-4</v>
      </c>
      <c r="J23" s="74">
        <v>4.9340297762752894E-4</v>
      </c>
      <c r="K23" s="74">
        <v>1.2756869060862942E-3</v>
      </c>
      <c r="L23" s="74">
        <v>3.3410462225046469E-4</v>
      </c>
      <c r="M23" s="74">
        <v>6.3591026611269484E-5</v>
      </c>
    </row>
    <row r="24" spans="1:13">
      <c r="A24" s="1" t="s">
        <v>72</v>
      </c>
      <c r="B24" s="74">
        <v>2.9495163707115115E-4</v>
      </c>
      <c r="C24" s="74">
        <v>-2.9693324888585581E-4</v>
      </c>
      <c r="D24" s="74">
        <v>3.0278714972941274E-3</v>
      </c>
      <c r="E24" s="74">
        <v>5.5431463129476406E-4</v>
      </c>
      <c r="F24" s="74">
        <v>1.3467334545517106E-3</v>
      </c>
      <c r="G24" s="74">
        <v>7.0919942445322754E-4</v>
      </c>
      <c r="H24" s="74">
        <v>3.1080317980706302E-4</v>
      </c>
      <c r="I24" s="74">
        <v>1.0136744578838244E-3</v>
      </c>
      <c r="J24" s="74">
        <v>-6.5627112051183938E-6</v>
      </c>
      <c r="K24" s="74">
        <v>9.3516360262153094E-5</v>
      </c>
      <c r="L24" s="74">
        <v>3.7783952755651983E-4</v>
      </c>
      <c r="M24" s="74">
        <v>1.8361225969033804E-4</v>
      </c>
    </row>
    <row r="25" spans="1:13">
      <c r="A25" s="1" t="s">
        <v>75</v>
      </c>
      <c r="B25" s="74">
        <v>-5.3870685792569686E-4</v>
      </c>
      <c r="C25" s="74">
        <v>-3.9568611517910298E-4</v>
      </c>
      <c r="D25" s="74">
        <v>5.5431463129476406E-4</v>
      </c>
      <c r="E25" s="74">
        <v>2.8961406311077079E-3</v>
      </c>
      <c r="F25" s="74">
        <v>4.7881407046949958E-4</v>
      </c>
      <c r="G25" s="74">
        <v>-6.9180726222126999E-4</v>
      </c>
      <c r="H25" s="74">
        <v>-4.5838028024900052E-5</v>
      </c>
      <c r="I25" s="74">
        <v>1.0289863978875425E-3</v>
      </c>
      <c r="J25" s="74">
        <v>8.3475805700278003E-5</v>
      </c>
      <c r="K25" s="74">
        <v>-7.6310472249561132E-4</v>
      </c>
      <c r="L25" s="74">
        <v>-5.5152719960315964E-4</v>
      </c>
      <c r="M25" s="74">
        <v>9.0775760255160676E-5</v>
      </c>
    </row>
    <row r="26" spans="1:13">
      <c r="A26" s="1" t="s">
        <v>78</v>
      </c>
      <c r="B26" s="74">
        <v>1.3924335720168657E-3</v>
      </c>
      <c r="C26" s="74">
        <v>1.0529941821205474E-3</v>
      </c>
      <c r="D26" s="74">
        <v>1.3467334545517106E-3</v>
      </c>
      <c r="E26" s="74">
        <v>4.7881407046949958E-4</v>
      </c>
      <c r="F26" s="74">
        <v>7.6037901630097134E-3</v>
      </c>
      <c r="G26" s="74">
        <v>7.764914870110757E-4</v>
      </c>
      <c r="H26" s="74">
        <v>7.9869368770915368E-4</v>
      </c>
      <c r="I26" s="74">
        <v>1.6434621321971992E-3</v>
      </c>
      <c r="J26" s="74">
        <v>-2.613957925340109E-4</v>
      </c>
      <c r="K26" s="74">
        <v>2.1605271910232265E-3</v>
      </c>
      <c r="L26" s="74">
        <v>-1.3565181417649905E-3</v>
      </c>
      <c r="M26" s="74">
        <v>9.2475872132107126E-4</v>
      </c>
    </row>
    <row r="27" spans="1:13">
      <c r="A27" s="1" t="s">
        <v>86</v>
      </c>
      <c r="B27" s="74">
        <v>6.2373482645073882E-4</v>
      </c>
      <c r="C27" s="74">
        <v>-1.8972700403121318E-3</v>
      </c>
      <c r="D27" s="74">
        <v>7.0919942445322754E-4</v>
      </c>
      <c r="E27" s="74">
        <v>-6.9180726222126999E-4</v>
      </c>
      <c r="F27" s="74">
        <v>7.764914870110757E-4</v>
      </c>
      <c r="G27" s="74">
        <v>6.974565555908592E-3</v>
      </c>
      <c r="H27" s="74">
        <v>1.4981496971605973E-3</v>
      </c>
      <c r="I27" s="74">
        <v>4.2082484656519201E-4</v>
      </c>
      <c r="J27" s="74">
        <v>1.0157297569188676E-3</v>
      </c>
      <c r="K27" s="74">
        <v>5.0458633754802643E-4</v>
      </c>
      <c r="L27" s="74">
        <v>1.6135238918567039E-4</v>
      </c>
      <c r="M27" s="74">
        <v>1.1431946880711336E-4</v>
      </c>
    </row>
    <row r="28" spans="1:13">
      <c r="A28" s="1" t="s">
        <v>87</v>
      </c>
      <c r="B28" s="74">
        <v>2.5222162913528457E-4</v>
      </c>
      <c r="C28" s="74">
        <v>-1.8903894247059523E-4</v>
      </c>
      <c r="D28" s="74">
        <v>3.1080317980706302E-4</v>
      </c>
      <c r="E28" s="74">
        <v>-4.5838028024900052E-5</v>
      </c>
      <c r="F28" s="74">
        <v>7.9869368770915368E-4</v>
      </c>
      <c r="G28" s="74">
        <v>1.4981496971605973E-3</v>
      </c>
      <c r="H28" s="74">
        <v>5.0737648687377308E-3</v>
      </c>
      <c r="I28" s="74">
        <v>1.7261924694720034E-4</v>
      </c>
      <c r="J28" s="74">
        <v>4.071075921911617E-4</v>
      </c>
      <c r="K28" s="74">
        <v>1.3050765074866663E-3</v>
      </c>
      <c r="L28" s="74">
        <v>1.3554838765073532E-3</v>
      </c>
      <c r="M28" s="74">
        <v>5.1747040636908965E-4</v>
      </c>
    </row>
    <row r="29" spans="1:13">
      <c r="A29" s="1" t="s">
        <v>88</v>
      </c>
      <c r="B29" s="74">
        <v>7.5697764174932885E-4</v>
      </c>
      <c r="C29" s="74">
        <v>-3.9907524864650539E-4</v>
      </c>
      <c r="D29" s="74">
        <v>1.0136744578838244E-3</v>
      </c>
      <c r="E29" s="74">
        <v>1.0289863978875425E-3</v>
      </c>
      <c r="F29" s="74">
        <v>1.6434621321971992E-3</v>
      </c>
      <c r="G29" s="74">
        <v>4.2082484656519201E-4</v>
      </c>
      <c r="H29" s="74">
        <v>1.7261924694720034E-4</v>
      </c>
      <c r="I29" s="74">
        <v>2.1701562647009217E-3</v>
      </c>
      <c r="J29" s="74">
        <v>2.2779990892013956E-4</v>
      </c>
      <c r="K29" s="74">
        <v>-5.7101466124374943E-4</v>
      </c>
      <c r="L29" s="74">
        <v>-5.6088319301601764E-4</v>
      </c>
      <c r="M29" s="74">
        <v>4.2715662196260359E-4</v>
      </c>
    </row>
    <row r="30" spans="1:13">
      <c r="A30" s="1" t="s">
        <v>89</v>
      </c>
      <c r="B30" s="74">
        <v>1.1921120255306897E-4</v>
      </c>
      <c r="C30" s="74">
        <v>4.9340297762752894E-4</v>
      </c>
      <c r="D30" s="74">
        <v>-6.5627112051183938E-6</v>
      </c>
      <c r="E30" s="74">
        <v>8.3475805700278003E-5</v>
      </c>
      <c r="F30" s="74">
        <v>-2.613957925340109E-4</v>
      </c>
      <c r="G30" s="74">
        <v>1.0157297569188676E-3</v>
      </c>
      <c r="H30" s="74">
        <v>4.071075921911617E-4</v>
      </c>
      <c r="I30" s="74">
        <v>2.2779990892013956E-4</v>
      </c>
      <c r="J30" s="74">
        <v>3.2252657085733746E-3</v>
      </c>
      <c r="K30" s="74">
        <v>1.0211292087863526E-4</v>
      </c>
      <c r="L30" s="74">
        <v>-1.1504189822015654E-3</v>
      </c>
      <c r="M30" s="74">
        <v>-3.8935670076516442E-4</v>
      </c>
    </row>
    <row r="31" spans="1:13">
      <c r="A31" s="1" t="s">
        <v>92</v>
      </c>
      <c r="B31" s="74">
        <v>2.8430212623312065E-3</v>
      </c>
      <c r="C31" s="74">
        <v>1.2756869060862942E-3</v>
      </c>
      <c r="D31" s="74">
        <v>9.3516360262153094E-5</v>
      </c>
      <c r="E31" s="74">
        <v>-7.6310472249561132E-4</v>
      </c>
      <c r="F31" s="74">
        <v>2.1605271910232265E-3</v>
      </c>
      <c r="G31" s="74">
        <v>5.0458633754802643E-4</v>
      </c>
      <c r="H31" s="74">
        <v>1.3050765074866663E-3</v>
      </c>
      <c r="I31" s="74">
        <v>-5.7101466124374943E-4</v>
      </c>
      <c r="J31" s="74">
        <v>1.0211292087863526E-4</v>
      </c>
      <c r="K31" s="74">
        <v>2.4275510236457371E-2</v>
      </c>
      <c r="L31" s="74">
        <v>2.2149782096512966E-3</v>
      </c>
      <c r="M31" s="74">
        <v>-1.7956311295046206E-3</v>
      </c>
    </row>
    <row r="32" spans="1:13">
      <c r="A32" s="1" t="s">
        <v>95</v>
      </c>
      <c r="B32" s="74">
        <v>-2.3736402153810108E-4</v>
      </c>
      <c r="C32" s="74">
        <v>3.3410462225046469E-4</v>
      </c>
      <c r="D32" s="74">
        <v>3.7783952755651983E-4</v>
      </c>
      <c r="E32" s="74">
        <v>-5.5152719960315964E-4</v>
      </c>
      <c r="F32" s="74">
        <v>-1.3565181417649905E-3</v>
      </c>
      <c r="G32" s="74">
        <v>1.6135238918567039E-4</v>
      </c>
      <c r="H32" s="74">
        <v>1.3554838765073532E-3</v>
      </c>
      <c r="I32" s="74">
        <v>-5.6088319301601764E-4</v>
      </c>
      <c r="J32" s="74">
        <v>-1.1504189822015654E-3</v>
      </c>
      <c r="K32" s="74">
        <v>2.2149782096512966E-3</v>
      </c>
      <c r="L32" s="74">
        <v>4.6807324212717926E-3</v>
      </c>
      <c r="M32" s="74">
        <v>4.6625863966190787E-5</v>
      </c>
    </row>
    <row r="33" spans="1:13">
      <c r="A33" s="1" t="s">
        <v>96</v>
      </c>
      <c r="B33" s="74">
        <v>-3.1366755395471056E-4</v>
      </c>
      <c r="C33" s="74">
        <v>6.3591026611269484E-5</v>
      </c>
      <c r="D33" s="74">
        <v>1.8361225969033804E-4</v>
      </c>
      <c r="E33" s="74">
        <v>9.0775760255160676E-5</v>
      </c>
      <c r="F33" s="74">
        <v>9.2475872132107126E-4</v>
      </c>
      <c r="G33" s="74">
        <v>1.1431946880711336E-4</v>
      </c>
      <c r="H33" s="74">
        <v>5.1747040636908965E-4</v>
      </c>
      <c r="I33" s="74">
        <v>4.2715662196260359E-4</v>
      </c>
      <c r="J33" s="74">
        <v>-3.8935670076516442E-4</v>
      </c>
      <c r="K33" s="74">
        <v>-1.7956311295046206E-3</v>
      </c>
      <c r="L33" s="74">
        <v>4.6625863966190787E-5</v>
      </c>
      <c r="M33" s="74">
        <v>1.1709341342651619E-3</v>
      </c>
    </row>
  </sheetData>
  <mergeCells count="1">
    <mergeCell ref="B20:M2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10294-362A-413B-AD91-28B30DF79A72}">
  <dimension ref="A1:N33"/>
  <sheetViews>
    <sheetView tabSelected="1" workbookViewId="0">
      <selection activeCell="I13" sqref="I13"/>
    </sheetView>
  </sheetViews>
  <sheetFormatPr baseColWidth="10" defaultRowHeight="15"/>
  <sheetData>
    <row r="1" spans="1:14">
      <c r="A1" s="22" t="s">
        <v>108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>
      <c r="A2" s="22"/>
      <c r="B2" s="84" t="s">
        <v>98</v>
      </c>
      <c r="C2" s="22">
        <v>-0.14856734764628454</v>
      </c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14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14">
      <c r="A4" s="132" t="s">
        <v>52</v>
      </c>
      <c r="B4" s="132" t="s">
        <v>97</v>
      </c>
      <c r="C4" s="132" t="s">
        <v>99</v>
      </c>
      <c r="D4" s="22"/>
      <c r="E4" s="131" t="s">
        <v>100</v>
      </c>
      <c r="F4" s="130" t="s">
        <v>101</v>
      </c>
      <c r="G4" s="22"/>
      <c r="H4" s="85" t="s">
        <v>103</v>
      </c>
      <c r="I4" s="22">
        <f>SUMPRODUCT(F5:F10,B5:B10)</f>
        <v>0.14818907985849875</v>
      </c>
      <c r="J4" s="22"/>
      <c r="K4" s="22"/>
      <c r="L4" s="22"/>
      <c r="M4" s="22"/>
      <c r="N4" s="22"/>
    </row>
    <row r="5" spans="1:14">
      <c r="A5" s="128" t="s">
        <v>69</v>
      </c>
      <c r="B5" s="23">
        <v>6.4684996717427001E-2</v>
      </c>
      <c r="C5" s="23">
        <v>2.6422547166848291</v>
      </c>
      <c r="D5" s="22"/>
      <c r="E5" s="23">
        <f t="array" ref="E5:E10">MMULT(MINVERSE(B16:G21),B5:B10-C2)</f>
        <v>63.478481654112244</v>
      </c>
      <c r="F5" s="23">
        <f>E5/E$11</f>
        <v>0.11515284755288875</v>
      </c>
      <c r="G5" s="22"/>
      <c r="H5" s="85" t="s">
        <v>104</v>
      </c>
      <c r="I5" s="22">
        <f>SUMPRODUCT(F5:F10,C5:C10)</f>
        <v>3.6768930846721424</v>
      </c>
      <c r="J5" s="22"/>
      <c r="K5" s="22"/>
      <c r="L5" s="22"/>
      <c r="M5" s="22"/>
      <c r="N5" s="22"/>
    </row>
    <row r="6" spans="1:14">
      <c r="A6" s="128" t="s">
        <v>75</v>
      </c>
      <c r="B6" s="23">
        <v>0.26004011667424337</v>
      </c>
      <c r="C6" s="23">
        <v>5.0627579410435901</v>
      </c>
      <c r="D6" s="22"/>
      <c r="E6" s="23">
        <v>154.19801626648791</v>
      </c>
      <c r="F6" s="23">
        <f t="shared" ref="F6:F10" si="0">E6/E$11</f>
        <v>0.27972220187693253</v>
      </c>
      <c r="G6" s="22"/>
      <c r="H6" s="85" t="s">
        <v>105</v>
      </c>
      <c r="I6" s="22" cm="1">
        <f t="array" ref="I6">MMULT(TRANSPOSE(F5:F10),MMULT(B16:G21,F5:F10))</f>
        <v>5.3832963181129354E-4</v>
      </c>
      <c r="J6" s="22"/>
      <c r="K6" s="22"/>
      <c r="L6" s="22"/>
      <c r="M6" s="22"/>
      <c r="N6" s="22"/>
    </row>
    <row r="7" spans="1:14">
      <c r="A7" s="128" t="s">
        <v>88</v>
      </c>
      <c r="B7" s="23">
        <v>6.4143076435343699E-2</v>
      </c>
      <c r="C7" s="23">
        <v>2.6355401765672317</v>
      </c>
      <c r="D7" s="22"/>
      <c r="E7" s="23">
        <v>42.759603244463193</v>
      </c>
      <c r="F7" s="23">
        <f t="shared" si="0"/>
        <v>7.7567861510321731E-2</v>
      </c>
      <c r="G7" s="22"/>
      <c r="H7" s="22"/>
      <c r="I7" s="22"/>
      <c r="J7" s="22"/>
      <c r="K7" s="22"/>
      <c r="L7" s="22"/>
      <c r="M7" s="22"/>
      <c r="N7" s="22"/>
    </row>
    <row r="8" spans="1:14">
      <c r="A8" s="128" t="s">
        <v>89</v>
      </c>
      <c r="B8" s="23">
        <v>-0.12202017930655915</v>
      </c>
      <c r="C8" s="23">
        <v>0.32892665714676117</v>
      </c>
      <c r="D8" s="22"/>
      <c r="E8" s="23">
        <v>50.918518541808496</v>
      </c>
      <c r="F8" s="23">
        <f t="shared" si="0"/>
        <v>9.2368504262798024E-2</v>
      </c>
      <c r="G8" s="22"/>
      <c r="H8" s="22"/>
      <c r="I8" s="22"/>
      <c r="J8" s="22"/>
      <c r="K8" s="22"/>
      <c r="L8" s="22"/>
      <c r="M8" s="22"/>
      <c r="N8" s="22"/>
    </row>
    <row r="9" spans="1:14">
      <c r="A9" s="128" t="s">
        <v>95</v>
      </c>
      <c r="B9" s="23">
        <v>0.31419157319027508</v>
      </c>
      <c r="C9" s="23">
        <v>5.7337092584687595</v>
      </c>
      <c r="D9" s="22"/>
      <c r="E9" s="23">
        <v>129.03676491014653</v>
      </c>
      <c r="F9" s="23">
        <f t="shared" si="0"/>
        <v>0.23407854963168387</v>
      </c>
      <c r="G9" s="22"/>
      <c r="H9" s="22"/>
      <c r="I9" s="22"/>
      <c r="J9" s="22"/>
      <c r="K9" s="22"/>
      <c r="L9" s="22"/>
      <c r="M9" s="22"/>
      <c r="N9" s="22"/>
    </row>
    <row r="10" spans="1:14">
      <c r="A10" s="128" t="s">
        <v>96</v>
      </c>
      <c r="B10" s="23">
        <v>3.7357494529405566E-3</v>
      </c>
      <c r="C10" s="23">
        <v>1.8870769176154207</v>
      </c>
      <c r="D10" s="22"/>
      <c r="E10" s="23">
        <v>110.86273547720775</v>
      </c>
      <c r="F10" s="23">
        <f t="shared" si="0"/>
        <v>0.20111003516537515</v>
      </c>
      <c r="G10" s="22"/>
      <c r="H10" s="22"/>
      <c r="I10" s="22"/>
      <c r="J10" s="22"/>
      <c r="K10" s="22"/>
      <c r="L10" s="22"/>
      <c r="M10" s="22"/>
      <c r="N10" s="22"/>
    </row>
    <row r="11" spans="1:14">
      <c r="A11" s="1"/>
      <c r="B11" s="21"/>
      <c r="C11" s="21"/>
      <c r="D11" s="22" t="s">
        <v>102</v>
      </c>
      <c r="E11" s="22">
        <f>SUM(E5:E10)</f>
        <v>551.2541200942261</v>
      </c>
      <c r="F11" s="22"/>
      <c r="G11" s="22"/>
      <c r="H11" s="22"/>
      <c r="I11" s="22"/>
      <c r="J11" s="22"/>
      <c r="K11" s="22"/>
      <c r="L11" s="22"/>
      <c r="M11" s="22"/>
      <c r="N11" s="22"/>
    </row>
    <row r="12" spans="1:14">
      <c r="A12" s="1"/>
      <c r="B12" s="21"/>
      <c r="C12" s="21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</row>
    <row r="13" spans="1:14">
      <c r="A13" s="1"/>
      <c r="B13" s="21"/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</row>
    <row r="14" spans="1:14">
      <c r="A14" s="22"/>
      <c r="B14" s="90" t="s">
        <v>107</v>
      </c>
      <c r="C14" s="90"/>
      <c r="D14" s="90"/>
      <c r="E14" s="90"/>
      <c r="F14" s="90"/>
      <c r="G14" s="90"/>
      <c r="H14" s="22"/>
      <c r="I14" s="22"/>
      <c r="J14" s="22"/>
      <c r="K14" s="22"/>
      <c r="L14" s="22"/>
      <c r="M14" s="22"/>
      <c r="N14" s="22"/>
    </row>
    <row r="15" spans="1:14">
      <c r="A15" s="22"/>
      <c r="B15" s="22" t="str">
        <f t="array" ref="B15:G15">TRANSPOSE(A16:A21)</f>
        <v>BIMBOA</v>
      </c>
      <c r="C15" s="22" t="str">
        <v>ELEKTRA</v>
      </c>
      <c r="D15" s="22" t="str">
        <v>KIMBERA</v>
      </c>
      <c r="E15" s="22" t="str">
        <v>MEGACPO</v>
      </c>
      <c r="F15" s="22" t="str">
        <v>SITESB1</v>
      </c>
      <c r="G15" s="22" t="str">
        <v>WALMEX</v>
      </c>
      <c r="H15" s="22"/>
      <c r="I15" s="22"/>
      <c r="J15" s="22"/>
      <c r="K15" s="22"/>
      <c r="L15" s="22"/>
      <c r="M15" s="22"/>
      <c r="N15" s="22"/>
    </row>
    <row r="16" spans="1:14">
      <c r="A16" s="1" t="s">
        <v>69</v>
      </c>
      <c r="B16" s="74">
        <v>3.4034470994277473E-3</v>
      </c>
      <c r="C16" s="74">
        <v>-3.9568611517910298E-4</v>
      </c>
      <c r="D16" s="74">
        <v>-3.9907524864650539E-4</v>
      </c>
      <c r="E16" s="74">
        <v>4.9340297762752894E-4</v>
      </c>
      <c r="F16" s="74">
        <v>3.3410462225046469E-4</v>
      </c>
      <c r="G16" s="74">
        <v>6.3591026611269484E-5</v>
      </c>
      <c r="H16" s="22"/>
      <c r="I16" s="22"/>
      <c r="J16" s="22"/>
      <c r="K16" s="22"/>
      <c r="L16" s="22"/>
      <c r="M16" s="22"/>
      <c r="N16" s="22"/>
    </row>
    <row r="17" spans="1:14">
      <c r="A17" s="1" t="s">
        <v>75</v>
      </c>
      <c r="B17" s="74">
        <v>-3.9568611517910298E-4</v>
      </c>
      <c r="C17" s="74">
        <v>2.8961406311077079E-3</v>
      </c>
      <c r="D17" s="74">
        <v>1.0289863978875425E-3</v>
      </c>
      <c r="E17" s="74">
        <v>8.3475805700278003E-5</v>
      </c>
      <c r="F17" s="74">
        <v>-5.5152719960315964E-4</v>
      </c>
      <c r="G17" s="74">
        <v>9.0775760255160676E-5</v>
      </c>
      <c r="H17" s="22"/>
      <c r="I17" s="22"/>
      <c r="J17" s="22"/>
      <c r="K17" s="22"/>
      <c r="L17" s="22"/>
      <c r="M17" s="22"/>
      <c r="N17" s="22"/>
    </row>
    <row r="18" spans="1:14">
      <c r="A18" s="1" t="s">
        <v>88</v>
      </c>
      <c r="B18" s="74">
        <v>-3.9907524864650539E-4</v>
      </c>
      <c r="C18" s="74">
        <v>1.0289863978875425E-3</v>
      </c>
      <c r="D18" s="74">
        <v>2.1701562647009217E-3</v>
      </c>
      <c r="E18" s="74">
        <v>2.2779990892013956E-4</v>
      </c>
      <c r="F18" s="74">
        <v>-5.6088319301601764E-4</v>
      </c>
      <c r="G18" s="74">
        <v>4.2715662196260359E-4</v>
      </c>
      <c r="H18" s="22"/>
      <c r="I18" s="22"/>
      <c r="J18" s="22"/>
      <c r="K18" s="22"/>
      <c r="L18" s="22"/>
      <c r="M18" s="22"/>
      <c r="N18" s="22"/>
    </row>
    <row r="19" spans="1:14">
      <c r="A19" s="1" t="s">
        <v>89</v>
      </c>
      <c r="B19" s="74">
        <v>4.9340297762752894E-4</v>
      </c>
      <c r="C19" s="74">
        <v>8.3475805700278003E-5</v>
      </c>
      <c r="D19" s="74">
        <v>2.2779990892013956E-4</v>
      </c>
      <c r="E19" s="74">
        <v>3.2252657085733746E-3</v>
      </c>
      <c r="F19" s="74">
        <v>-1.1504189822015654E-3</v>
      </c>
      <c r="G19" s="74">
        <v>-3.8935670076516442E-4</v>
      </c>
      <c r="H19" s="87"/>
      <c r="I19" s="87"/>
      <c r="J19" s="87"/>
      <c r="K19" s="87"/>
      <c r="L19" s="87"/>
      <c r="M19" s="87"/>
      <c r="N19" s="22"/>
    </row>
    <row r="20" spans="1:14">
      <c r="A20" s="1" t="s">
        <v>95</v>
      </c>
      <c r="B20" s="74">
        <v>3.3410462225046469E-4</v>
      </c>
      <c r="C20" s="74">
        <v>-5.5152719960315964E-4</v>
      </c>
      <c r="D20" s="74">
        <v>-5.6088319301601764E-4</v>
      </c>
      <c r="E20" s="74">
        <v>-1.1504189822015654E-3</v>
      </c>
      <c r="F20" s="74">
        <v>4.6807324212717926E-3</v>
      </c>
      <c r="G20" s="74">
        <v>4.6625863966190787E-5</v>
      </c>
      <c r="H20" s="48"/>
      <c r="I20" s="48"/>
      <c r="J20" s="48"/>
      <c r="K20" s="48"/>
      <c r="L20" s="48"/>
      <c r="M20" s="48"/>
      <c r="N20" s="22"/>
    </row>
    <row r="21" spans="1:14">
      <c r="A21" s="1" t="s">
        <v>96</v>
      </c>
      <c r="B21" s="74">
        <v>6.3591026611269484E-5</v>
      </c>
      <c r="C21" s="74">
        <v>9.0775760255160676E-5</v>
      </c>
      <c r="D21" s="74">
        <v>4.2715662196260359E-4</v>
      </c>
      <c r="E21" s="74">
        <v>-3.8935670076516442E-4</v>
      </c>
      <c r="F21" s="74">
        <v>4.6625863966190787E-5</v>
      </c>
      <c r="G21" s="74">
        <v>1.1709341342651619E-3</v>
      </c>
      <c r="H21" s="73"/>
      <c r="I21" s="73"/>
      <c r="J21" s="73"/>
      <c r="K21" s="73"/>
      <c r="L21" s="73"/>
      <c r="M21" s="73"/>
      <c r="N21" s="22"/>
    </row>
    <row r="22" spans="1:14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22"/>
    </row>
    <row r="23" spans="1:14">
      <c r="H23" s="73"/>
      <c r="I23" s="73"/>
      <c r="J23" s="73"/>
      <c r="K23" s="73"/>
      <c r="L23" s="73"/>
      <c r="M23" s="73"/>
      <c r="N23" s="22"/>
    </row>
    <row r="24" spans="1:14">
      <c r="H24" s="73"/>
      <c r="I24" s="73"/>
      <c r="J24" s="73"/>
      <c r="K24" s="73"/>
      <c r="L24" s="73"/>
      <c r="M24" s="73"/>
      <c r="N24" s="22"/>
    </row>
    <row r="25" spans="1:14">
      <c r="H25" s="73"/>
      <c r="I25" s="73"/>
      <c r="J25" s="73"/>
      <c r="K25" s="73"/>
      <c r="L25" s="73"/>
      <c r="M25" s="73"/>
      <c r="N25" s="22"/>
    </row>
    <row r="26" spans="1:14">
      <c r="H26" s="73"/>
      <c r="I26" s="73"/>
      <c r="J26" s="73"/>
      <c r="K26" s="73"/>
      <c r="L26" s="73"/>
      <c r="M26" s="73"/>
      <c r="N26" s="22"/>
    </row>
    <row r="27" spans="1:14">
      <c r="H27" s="73"/>
      <c r="I27" s="73"/>
      <c r="J27" s="73"/>
      <c r="K27" s="73"/>
      <c r="L27" s="73"/>
      <c r="M27" s="73"/>
      <c r="N27" s="22"/>
    </row>
    <row r="28" spans="1:14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22"/>
    </row>
    <row r="29" spans="1:14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22"/>
    </row>
    <row r="30" spans="1:14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22"/>
    </row>
    <row r="31" spans="1:14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22"/>
    </row>
    <row r="32" spans="1:14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22"/>
    </row>
    <row r="33" spans="1:14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</row>
  </sheetData>
  <mergeCells count="1">
    <mergeCell ref="B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IPC</vt:lpstr>
      <vt:lpstr>Activos</vt:lpstr>
      <vt:lpstr>Betas</vt:lpstr>
      <vt:lpstr>Portafolios a considerar</vt:lpstr>
      <vt:lpstr>Portafolio(amante)</vt:lpstr>
      <vt:lpstr>Portafolio(correlaciones neg)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Alondra Maus</dc:creator>
  <cp:lastModifiedBy>Alondra Maus</cp:lastModifiedBy>
  <dcterms:created xsi:type="dcterms:W3CDTF">2020-11-11T00:11:49Z</dcterms:created>
  <dcterms:modified xsi:type="dcterms:W3CDTF">2020-11-14T03:32:49Z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d4ba9aab-b2aa-4b59-a7c5-ef89ff99c13d</vt:lpwstr>
  </property>
</Properties>
</file>